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divyaanshkharbanda/Desktop/claude-playground/reverse-engineer-sheets/samples/"/>
    </mc:Choice>
  </mc:AlternateContent>
  <xr:revisionPtr revIDLastSave="0" documentId="8_{F9860023-89CC-2A42-8EF0-F4312B660AE3}" xr6:coauthVersionLast="47" xr6:coauthVersionMax="47" xr10:uidLastSave="{00000000-0000-0000-0000-000000000000}"/>
  <bookViews>
    <workbookView xWindow="0" yWindow="600" windowWidth="44800" windowHeight="22820" xr2:uid="{00000000-000D-0000-FFFF-FFFF00000000}"/>
  </bookViews>
  <sheets>
    <sheet name="Approvals" sheetId="1" r:id="rId1"/>
    <sheet name="SKUs" sheetId="2" r:id="rId2"/>
    <sheet name="ListPrice_USD" sheetId="3" r:id="rId3"/>
    <sheet name="ListPrice_INR_lakh" sheetId="4" r:id="rId4"/>
    <sheet name="Discounts" sheetId="5" r:id="rId5"/>
    <sheet name="lists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Q28" i="1"/>
  <c r="N28" i="1"/>
  <c r="M28" i="1"/>
  <c r="I28" i="1"/>
  <c r="H28" i="1"/>
  <c r="G28" i="1"/>
  <c r="C28" i="1"/>
  <c r="Q27" i="1"/>
  <c r="N27" i="1"/>
  <c r="M27" i="1"/>
  <c r="I27" i="1"/>
  <c r="H27" i="1"/>
  <c r="G27" i="1"/>
  <c r="C27" i="1"/>
  <c r="N26" i="1"/>
  <c r="M26" i="1"/>
  <c r="I26" i="1"/>
  <c r="J26" i="1" s="1"/>
  <c r="H26" i="1"/>
  <c r="G26" i="1"/>
  <c r="K26" i="1" s="1"/>
  <c r="C26" i="1"/>
  <c r="Q25" i="1"/>
  <c r="N25" i="1"/>
  <c r="M25" i="1"/>
  <c r="I25" i="1"/>
  <c r="H25" i="1"/>
  <c r="G25" i="1"/>
  <c r="C25" i="1"/>
  <c r="Q24" i="1"/>
  <c r="N24" i="1"/>
  <c r="M24" i="1"/>
  <c r="I24" i="1"/>
  <c r="J24" i="1" s="1"/>
  <c r="H24" i="1"/>
  <c r="G24" i="1"/>
  <c r="K24" i="1" s="1"/>
  <c r="C24" i="1"/>
  <c r="Q23" i="1"/>
  <c r="N23" i="1"/>
  <c r="M23" i="1"/>
  <c r="I23" i="1"/>
  <c r="H23" i="1"/>
  <c r="G23" i="1"/>
  <c r="C23" i="1"/>
  <c r="Q22" i="1"/>
  <c r="N22" i="1"/>
  <c r="M22" i="1"/>
  <c r="I22" i="1"/>
  <c r="J22" i="1" s="1"/>
  <c r="H22" i="1"/>
  <c r="G22" i="1"/>
  <c r="K22" i="1" s="1"/>
  <c r="C22" i="1"/>
  <c r="Q21" i="1"/>
  <c r="N21" i="1"/>
  <c r="M21" i="1"/>
  <c r="I21" i="1"/>
  <c r="H21" i="1"/>
  <c r="G21" i="1"/>
  <c r="C21" i="1"/>
  <c r="N20" i="1"/>
  <c r="M20" i="1"/>
  <c r="I20" i="1"/>
  <c r="J20" i="1" s="1"/>
  <c r="H20" i="1"/>
  <c r="G20" i="1"/>
  <c r="C20" i="1"/>
  <c r="Q19" i="1"/>
  <c r="N19" i="1"/>
  <c r="M19" i="1"/>
  <c r="I19" i="1"/>
  <c r="H19" i="1"/>
  <c r="G19" i="1"/>
  <c r="C19" i="1"/>
  <c r="N18" i="1"/>
  <c r="M18" i="1"/>
  <c r="I18" i="1"/>
  <c r="J18" i="1" s="1"/>
  <c r="H18" i="1"/>
  <c r="G18" i="1"/>
  <c r="K18" i="1" s="1"/>
  <c r="C18" i="1"/>
  <c r="Q17" i="1"/>
  <c r="N17" i="1"/>
  <c r="M17" i="1"/>
  <c r="I17" i="1"/>
  <c r="H17" i="1"/>
  <c r="G17" i="1"/>
  <c r="C17" i="1"/>
  <c r="Q16" i="1"/>
  <c r="N16" i="1"/>
  <c r="M16" i="1"/>
  <c r="I16" i="1"/>
  <c r="J16" i="1" s="1"/>
  <c r="H16" i="1"/>
  <c r="G16" i="1"/>
  <c r="K16" i="1" s="1"/>
  <c r="C16" i="1"/>
  <c r="Q15" i="1"/>
  <c r="N15" i="1"/>
  <c r="M15" i="1"/>
  <c r="I15" i="1"/>
  <c r="H15" i="1"/>
  <c r="G15" i="1"/>
  <c r="C15" i="1"/>
  <c r="N14" i="1"/>
  <c r="M14" i="1"/>
  <c r="I14" i="1"/>
  <c r="J14" i="1" s="1"/>
  <c r="H14" i="1"/>
  <c r="G14" i="1"/>
  <c r="C14" i="1"/>
  <c r="Q13" i="1"/>
  <c r="N13" i="1"/>
  <c r="M13" i="1"/>
  <c r="I13" i="1"/>
  <c r="H13" i="1"/>
  <c r="G13" i="1"/>
  <c r="C13" i="1"/>
  <c r="Q12" i="1"/>
  <c r="N12" i="1"/>
  <c r="M12" i="1"/>
  <c r="I12" i="1"/>
  <c r="J12" i="1" s="1"/>
  <c r="H12" i="1"/>
  <c r="G12" i="1"/>
  <c r="C12" i="1"/>
  <c r="Q11" i="1"/>
  <c r="N11" i="1"/>
  <c r="M11" i="1"/>
  <c r="I11" i="1"/>
  <c r="H11" i="1"/>
  <c r="G11" i="1"/>
  <c r="C11" i="1"/>
  <c r="N10" i="1"/>
  <c r="M10" i="1"/>
  <c r="I10" i="1"/>
  <c r="J10" i="1" s="1"/>
  <c r="H10" i="1"/>
  <c r="G10" i="1"/>
  <c r="K10" i="1" s="1"/>
  <c r="C10" i="1"/>
  <c r="N9" i="1"/>
  <c r="M9" i="1"/>
  <c r="I9" i="1"/>
  <c r="H9" i="1"/>
  <c r="G9" i="1"/>
  <c r="C9" i="1"/>
  <c r="Q8" i="1"/>
  <c r="N8" i="1"/>
  <c r="M8" i="1"/>
  <c r="I8" i="1"/>
  <c r="J8" i="1" s="1"/>
  <c r="H8" i="1"/>
  <c r="G8" i="1"/>
  <c r="C8" i="1"/>
  <c r="Q7" i="1"/>
  <c r="N7" i="1"/>
  <c r="M7" i="1"/>
  <c r="I7" i="1"/>
  <c r="H7" i="1"/>
  <c r="J7" i="1" s="1"/>
  <c r="G7" i="1"/>
  <c r="C7" i="1"/>
  <c r="Q6" i="1"/>
  <c r="N6" i="1"/>
  <c r="M6" i="1"/>
  <c r="I6" i="1"/>
  <c r="J6" i="1" s="1"/>
  <c r="H6" i="1"/>
  <c r="G6" i="1"/>
  <c r="K6" i="1" s="1"/>
  <c r="C6" i="1"/>
  <c r="Q5" i="1"/>
  <c r="N5" i="1"/>
  <c r="M5" i="1"/>
  <c r="I5" i="1"/>
  <c r="H5" i="1"/>
  <c r="J5" i="1" s="1"/>
  <c r="G5" i="1"/>
  <c r="C5" i="1"/>
  <c r="J11" i="1" l="1"/>
  <c r="J9" i="1"/>
  <c r="J27" i="1"/>
  <c r="Q20" i="1"/>
  <c r="K12" i="1"/>
  <c r="L12" i="1" s="1"/>
  <c r="P12" i="1" s="1"/>
  <c r="J13" i="1"/>
  <c r="J19" i="1"/>
  <c r="K19" i="1" s="1"/>
  <c r="J17" i="1"/>
  <c r="J23" i="1"/>
  <c r="J25" i="1"/>
  <c r="J15" i="1"/>
  <c r="J21" i="1"/>
  <c r="J28" i="1"/>
  <c r="K28" i="1" s="1"/>
  <c r="O12" i="1"/>
  <c r="O24" i="1"/>
  <c r="L24" i="1"/>
  <c r="P24" i="1" s="1"/>
  <c r="K11" i="1"/>
  <c r="O10" i="1"/>
  <c r="L10" i="1"/>
  <c r="P10" i="1" s="1"/>
  <c r="K8" i="1"/>
  <c r="K9" i="1"/>
  <c r="Q9" i="1"/>
  <c r="K14" i="1"/>
  <c r="K20" i="1"/>
  <c r="K27" i="1"/>
  <c r="O6" i="1"/>
  <c r="L6" i="1"/>
  <c r="P6" i="1" s="1"/>
  <c r="K7" i="1"/>
  <c r="K13" i="1"/>
  <c r="Q26" i="1"/>
  <c r="O22" i="1"/>
  <c r="L22" i="1"/>
  <c r="P22" i="1" s="1"/>
  <c r="K23" i="1"/>
  <c r="O26" i="1"/>
  <c r="L26" i="1"/>
  <c r="P26" i="1" s="1"/>
  <c r="O18" i="1"/>
  <c r="L18" i="1"/>
  <c r="P18" i="1" s="1"/>
  <c r="K5" i="1"/>
  <c r="K17" i="1"/>
  <c r="K25" i="1"/>
  <c r="O16" i="1"/>
  <c r="L16" i="1"/>
  <c r="K15" i="1"/>
  <c r="P16" i="1"/>
  <c r="K21" i="1"/>
  <c r="Q10" i="1"/>
  <c r="Q14" i="1"/>
  <c r="Q18" i="1"/>
  <c r="O28" i="1" l="1"/>
  <c r="L28" i="1"/>
  <c r="P28" i="1" s="1"/>
  <c r="L25" i="1"/>
  <c r="P25" i="1" s="1"/>
  <c r="O25" i="1"/>
  <c r="O20" i="1"/>
  <c r="L20" i="1"/>
  <c r="P20" i="1" s="1"/>
  <c r="L13" i="1"/>
  <c r="P13" i="1" s="1"/>
  <c r="O13" i="1"/>
  <c r="L15" i="1"/>
  <c r="P15" i="1" s="1"/>
  <c r="O15" i="1"/>
  <c r="L7" i="1"/>
  <c r="P7" i="1" s="1"/>
  <c r="O7" i="1"/>
  <c r="L21" i="1"/>
  <c r="P21" i="1" s="1"/>
  <c r="O21" i="1"/>
  <c r="L5" i="1"/>
  <c r="L31" i="1"/>
  <c r="O5" i="1"/>
  <c r="L19" i="1"/>
  <c r="P19" i="1" s="1"/>
  <c r="O19" i="1"/>
  <c r="L27" i="1"/>
  <c r="P27" i="1" s="1"/>
  <c r="O27" i="1"/>
  <c r="L23" i="1"/>
  <c r="P23" i="1" s="1"/>
  <c r="O23" i="1"/>
  <c r="O14" i="1"/>
  <c r="L14" i="1"/>
  <c r="P14" i="1" s="1"/>
  <c r="L17" i="1"/>
  <c r="P17" i="1" s="1"/>
  <c r="O17" i="1"/>
  <c r="L9" i="1"/>
  <c r="P9" i="1" s="1"/>
  <c r="O9" i="1"/>
  <c r="L11" i="1"/>
  <c r="P11" i="1" s="1"/>
  <c r="O11" i="1"/>
  <c r="O8" i="1"/>
  <c r="L8" i="1"/>
  <c r="P8" i="1" s="1"/>
  <c r="L30" i="1" l="1"/>
  <c r="L33" i="1" s="1"/>
  <c r="L32" i="1"/>
  <c r="P5" i="1"/>
  <c r="L34" i="1" s="1"/>
</calcChain>
</file>

<file path=xl/sharedStrings.xml><?xml version="1.0" encoding="utf-8"?>
<sst xmlns="http://schemas.openxmlformats.org/spreadsheetml/2006/main" count="200" uniqueCount="94">
  <si>
    <t>Quote Q-26-0412 - Discount Approval</t>
  </si>
  <si>
    <t>Customer: Meridian Health Systems  |  Prepared by Deal Desk  |  Yellow = editable</t>
  </si>
  <si>
    <t>Line</t>
  </si>
  <si>
    <t>SKU</t>
  </si>
  <si>
    <t>Description</t>
  </si>
  <si>
    <t>Region</t>
  </si>
  <si>
    <t>Qty</t>
  </si>
  <si>
    <t>Requested Disc</t>
  </si>
  <si>
    <t>List Price (USD)</t>
  </si>
  <si>
    <t>Volume Disc</t>
  </si>
  <si>
    <t>Promo</t>
  </si>
  <si>
    <t>Total Disc</t>
  </si>
  <si>
    <t>Net Unit Price</t>
  </si>
  <si>
    <t>Net Line (USD)</t>
  </si>
  <si>
    <t>Active</t>
  </si>
  <si>
    <t>Unit Cost</t>
  </si>
  <si>
    <t>Margin %</t>
  </si>
  <si>
    <t>Approval Tier</t>
  </si>
  <si>
    <t>Net Line (INR lakh)</t>
  </si>
  <si>
    <t>PRO-100</t>
  </si>
  <si>
    <t>NA</t>
  </si>
  <si>
    <t>PRO-140</t>
  </si>
  <si>
    <t>EMEA</t>
  </si>
  <si>
    <t>ENT-200</t>
  </si>
  <si>
    <t>ENT-220</t>
  </si>
  <si>
    <t>APAC</t>
  </si>
  <si>
    <t>ANL-300</t>
  </si>
  <si>
    <t>India</t>
  </si>
  <si>
    <t>SEC-310</t>
  </si>
  <si>
    <t>HW-500</t>
  </si>
  <si>
    <t>HW-510</t>
  </si>
  <si>
    <t>HW-520</t>
  </si>
  <si>
    <t>HW-530</t>
  </si>
  <si>
    <t>SRV-010</t>
  </si>
  <si>
    <t>SRV-020</t>
  </si>
  <si>
    <t>SRV-030</t>
  </si>
  <si>
    <t>SRV-040</t>
  </si>
  <si>
    <t>TRN-010</t>
  </si>
  <si>
    <t>TRN-020</t>
  </si>
  <si>
    <t>SUP-100</t>
  </si>
  <si>
    <t>SUP-110</t>
  </si>
  <si>
    <t>MAR1</t>
  </si>
  <si>
    <t>1E5</t>
  </si>
  <si>
    <t>Quote total (USD)</t>
  </si>
  <si>
    <t>Quote total at unit price x qty</t>
  </si>
  <si>
    <t>Revenue from active SKUs</t>
  </si>
  <si>
    <t>Blended margin</t>
  </si>
  <si>
    <t>Highest approval required</t>
  </si>
  <si>
    <t>Category</t>
  </si>
  <si>
    <t>Unit Cost (USD)</t>
  </si>
  <si>
    <t>Pro License - 1 seat</t>
  </si>
  <si>
    <t>Software</t>
  </si>
  <si>
    <t>Y</t>
  </si>
  <si>
    <t>Pro License - Team (5)</t>
  </si>
  <si>
    <t>Enterprise License - 1 seat</t>
  </si>
  <si>
    <t>Enterprise License - Site</t>
  </si>
  <si>
    <t>Analytics Module</t>
  </si>
  <si>
    <t>Security Add-on</t>
  </si>
  <si>
    <t>Edge Gateway G2</t>
  </si>
  <si>
    <t>Hardware</t>
  </si>
  <si>
    <t>Edge Gateway G3</t>
  </si>
  <si>
    <t>Sensor Pack (10)</t>
  </si>
  <si>
    <t>Rack Mount Kit</t>
  </si>
  <si>
    <t>Implementation - Standard</t>
  </si>
  <si>
    <t>Services</t>
  </si>
  <si>
    <t>Implementation - Premium</t>
  </si>
  <si>
    <t>Managed Service (annual)</t>
  </si>
  <si>
    <t xml:space="preserve">Y </t>
  </si>
  <si>
    <t>Health Check</t>
  </si>
  <si>
    <t>Admin Training (per seat)</t>
  </si>
  <si>
    <t>Training</t>
  </si>
  <si>
    <t>Developer Bootcamp</t>
  </si>
  <si>
    <t>Premier Support (annual)</t>
  </si>
  <si>
    <t>Support</t>
  </si>
  <si>
    <t>Standard Support (annual)</t>
  </si>
  <si>
    <t>Marketing Analytics Lite</t>
  </si>
  <si>
    <t>1E5 Data Connector</t>
  </si>
  <si>
    <t>Effective From</t>
  </si>
  <si>
    <t>List prices in INR lakh (for India quotes)</t>
  </si>
  <si>
    <t>List Price (INR lakh)</t>
  </si>
  <si>
    <t>Discount policy</t>
  </si>
  <si>
    <t>Volume bands</t>
  </si>
  <si>
    <t>Min Qty</t>
  </si>
  <si>
    <t>Volume Discount</t>
  </si>
  <si>
    <t>Year-end promo discount</t>
  </si>
  <si>
    <t>Promo valid until</t>
  </si>
  <si>
    <t>Approval matrix: Manager &lt; 15% total discount; Director 15-30%; VP &gt;= 30%, or &gt;= 20% on lines above USD 100k.</t>
  </si>
  <si>
    <t>Margin floor: 12%. Lines below the floor cannot be approved.</t>
  </si>
  <si>
    <t>Regions</t>
  </si>
  <si>
    <t>Categories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</si>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</sst>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&quot;-&quot;"/>
    <numFmt numFmtId="167" formatCode="0.000"/>
    <numFmt numFmtId="168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b/>
      <sz val="11"/>
      <name val="Calibri"/>
      <family val="2"/>
    </font>
    <font>
      <i/>
      <sz val="9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3" borderId="0" xfId="0" applyFill="1"/>
    <xf numFmtId="168" fontId="0" fillId="3" borderId="0" xfId="0" applyNumberFormat="1" applyFill="1"/>
    <xf numFmtId="164" fontId="0" fillId="0" borderId="0" xfId="0" applyNumberFormat="1"/>
    <xf numFmtId="168" fontId="0" fillId="0" borderId="0" xfId="0" applyNumberFormat="1"/>
    <xf numFmtId="167" fontId="0" fillId="0" borderId="0" xfId="0" applyNumberFormat="1"/>
    <xf numFmtId="0" fontId="3" fillId="0" borderId="2" xfId="0" applyFont="1" applyBorder="1"/>
    <xf numFmtId="0" fontId="0" fillId="0" borderId="2" xfId="0" applyBorder="1"/>
    <xf numFmtId="164" fontId="3" fillId="0" borderId="2" xfId="0" applyNumberFormat="1" applyFont="1" applyBorder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" fontId="0" fillId="0" borderId="0" xfId="0" applyNumberFormat="1"/>
    <xf numFmtId="15" fontId="0" fillId="0" borderId="0" xfId="0" applyNumberFormat="1"/>
    <xf numFmtId="15" fontId="0" fillId="3" borderId="0" xfId="0" applyNumberFormat="1" applyFill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3" width="28" customWidth="1"/>
    <col min="4" max="4" width="8" customWidth="1"/>
    <col min="5" max="5" width="6" customWidth="1"/>
    <col min="6" max="6" width="10" customWidth="1"/>
    <col min="7" max="7" width="12" customWidth="1"/>
    <col min="8" max="8" width="9" customWidth="1"/>
    <col min="9" max="9" width="8" customWidth="1"/>
    <col min="10" max="10" width="9" customWidth="1"/>
    <col min="11" max="11" width="12" customWidth="1"/>
    <col min="12" max="12" width="14" customWidth="1"/>
    <col min="13" max="13" width="7" customWidth="1"/>
    <col min="14" max="14" width="10" customWidth="1"/>
    <col min="15" max="15" width="9" customWidth="1"/>
    <col min="16" max="16" width="12" customWidth="1"/>
    <col min="17" max="17" width="13" customWidth="1"/>
  </cols>
  <sheetData>
    <row r="1" spans="1:17" ht="19" x14ac:dyDescent="0.25">
      <c r="A1" s="1" t="s">
        <v>0</v>
      </c>
    </row>
    <row r="2" spans="1:17" x14ac:dyDescent="0.2">
      <c r="A2" s="2" t="s">
        <v>1</v>
      </c>
    </row>
    <row r="4" spans="1:17" ht="32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">
      <c r="A5">
        <v>1</v>
      </c>
      <c r="B5" s="4" t="s">
        <v>19</v>
      </c>
      <c r="C5" t="str">
        <f>IFERROR(VLOOKUP(B5,SKUs!$A$2:$B$21,2,FALSE),"")</f>
        <v>Pro License - 1 seat</v>
      </c>
      <c r="D5" s="5" t="s">
        <v>20</v>
      </c>
      <c r="E5" s="5">
        <v>40</v>
      </c>
      <c r="F5" s="6">
        <v>0.1</v>
      </c>
      <c r="G5" s="7">
        <f>IFERROR(VLOOKUP(B5,ListPrice_USD!$A$2:$B$23,2,FALSE),0)</f>
        <v>899</v>
      </c>
      <c r="H5" s="8">
        <f>INDEX(Discounts!$B$5:$B$10,MATCH(E5,Discounts!$A$5:$A$10,1))</f>
        <v>0.05</v>
      </c>
      <c r="I5" s="8">
        <f ca="1">IF(TODAY()&lt;=Discounts!$B$13,Discounts!$B$12,0)</f>
        <v>0.05</v>
      </c>
      <c r="J5" s="8">
        <f t="shared" ref="J5:J28" ca="1" si="0">F5+H5+I5</f>
        <v>0.2</v>
      </c>
      <c r="K5" s="7">
        <f t="shared" ref="K5:K28" ca="1" si="1">G5*(1-J5)</f>
        <v>719.2</v>
      </c>
      <c r="L5" s="7">
        <f t="shared" ref="L5:L28" ca="1" si="2">ROUND(K5*E5,2)</f>
        <v>28768</v>
      </c>
      <c r="M5" t="str">
        <f>IFERROR(VLOOKUP(B5,SKUs!$A$2:$E$21,5,FALSE),"")</f>
        <v>Y</v>
      </c>
      <c r="N5" s="7">
        <f>IFERROR(VLOOKUP(B5,SKUs!$A$2:$D$21,4,FALSE),0)</f>
        <v>197.78</v>
      </c>
      <c r="O5" s="8">
        <f t="shared" ref="O5:O28" ca="1" si="3">IFERROR((K5-N5)/K5,0)</f>
        <v>0.72500000000000009</v>
      </c>
      <c r="P5" t="str">
        <f t="shared" ref="P5:P28" ca="1" si="4">IF(AND(OR(J5&gt;=0.3,L5&gt;100000),J5&gt;=0.2,L5&gt;25000),"VP",IF(J5&gt;=0.15,"Director","Manager"))</f>
        <v>Director</v>
      </c>
      <c r="Q5" s="9" t="str">
        <f>IF(D5="India",E5*IFERROR(VLOOKUP(B5,ListPrice_INR_lakh!$A$4:$B$25,2,FALSE),0)*(1-J5),"")</f>
        <v/>
      </c>
    </row>
    <row r="6" spans="1:17" x14ac:dyDescent="0.2">
      <c r="A6">
        <v>2</v>
      </c>
      <c r="B6" s="4" t="s">
        <v>21</v>
      </c>
      <c r="C6" t="str">
        <f>IFERROR(VLOOKUP(B6,SKUs!$A$2:$B$21,2,FALSE),"")</f>
        <v>Pro License - Team (5)</v>
      </c>
      <c r="D6" s="5" t="s">
        <v>22</v>
      </c>
      <c r="E6" s="5">
        <v>12</v>
      </c>
      <c r="F6" s="6">
        <v>0.08</v>
      </c>
      <c r="G6" s="7">
        <f>IFERROR(VLOOKUP(B6,ListPrice_USD!$A$2:$B$23,2,FALSE),0)</f>
        <v>1150</v>
      </c>
      <c r="H6" s="8">
        <f>INDEX(Discounts!$B$5:$B$10,MATCH(E6,Discounts!$A$5:$A$10,1))</f>
        <v>0.05</v>
      </c>
      <c r="I6" s="8">
        <f ca="1">IF(TODAY()&lt;=Discounts!$B$13,Discounts!$B$12,0)</f>
        <v>0.05</v>
      </c>
      <c r="J6" s="8">
        <f t="shared" ca="1" si="0"/>
        <v>0.18</v>
      </c>
      <c r="K6" s="7">
        <f t="shared" ca="1" si="1"/>
        <v>943.00000000000011</v>
      </c>
      <c r="L6" s="7">
        <f t="shared" ca="1" si="2"/>
        <v>11316</v>
      </c>
      <c r="M6" t="str">
        <f>IFERROR(VLOOKUP(B6,SKUs!$A$2:$E$21,5,FALSE),"")</f>
        <v>Y</v>
      </c>
      <c r="N6" s="7">
        <f>IFERROR(VLOOKUP(B6,SKUs!$A$2:$D$21,4,FALSE),0)</f>
        <v>310.8</v>
      </c>
      <c r="O6" s="8">
        <f t="shared" ca="1" si="3"/>
        <v>0.67041357370095433</v>
      </c>
      <c r="P6" t="str">
        <f t="shared" ca="1" si="4"/>
        <v>Director</v>
      </c>
      <c r="Q6" s="9" t="str">
        <f>IF(D6="India",E6*IFERROR(VLOOKUP(B6,ListPrice_INR_lakh!$A$4:$B$25,2,FALSE),0)*(1-J6),"")</f>
        <v/>
      </c>
    </row>
    <row r="7" spans="1:17" x14ac:dyDescent="0.2">
      <c r="A7">
        <v>3</v>
      </c>
      <c r="B7" s="4" t="s">
        <v>23</v>
      </c>
      <c r="C7" t="str">
        <f>IFERROR(VLOOKUP(B7,SKUs!$A$2:$B$21,2,FALSE),"")</f>
        <v>Enterprise License - 1 seat</v>
      </c>
      <c r="D7" s="5" t="s">
        <v>20</v>
      </c>
      <c r="E7" s="5">
        <v>120</v>
      </c>
      <c r="F7" s="6">
        <v>0.15</v>
      </c>
      <c r="G7" s="7">
        <f>IFERROR(VLOOKUP(B7,ListPrice_USD!$A$2:$B$23,2,FALSE),0)</f>
        <v>1849</v>
      </c>
      <c r="H7" s="8">
        <f>INDEX(Discounts!$B$5:$B$10,MATCH(E7,Discounts!$A$5:$A$10,1))</f>
        <v>0.125</v>
      </c>
      <c r="I7" s="8">
        <f ca="1">IF(TODAY()&lt;=Discounts!$B$13,Discounts!$B$12,0)</f>
        <v>0.05</v>
      </c>
      <c r="J7" s="8">
        <f t="shared" ca="1" si="0"/>
        <v>0.32500000000000001</v>
      </c>
      <c r="K7" s="7">
        <f t="shared" ca="1" si="1"/>
        <v>1248.075</v>
      </c>
      <c r="L7" s="7">
        <f t="shared" ca="1" si="2"/>
        <v>149769</v>
      </c>
      <c r="M7" t="str">
        <f>IFERROR(VLOOKUP(B7,SKUs!$A$2:$E$21,5,FALSE),"")</f>
        <v>Y</v>
      </c>
      <c r="N7" s="7">
        <f>IFERROR(VLOOKUP(B7,SKUs!$A$2:$D$21,4,FALSE),0)</f>
        <v>369.8</v>
      </c>
      <c r="O7" s="8">
        <f t="shared" ca="1" si="3"/>
        <v>0.70370370370370372</v>
      </c>
      <c r="P7" t="str">
        <f t="shared" ca="1" si="4"/>
        <v>VP</v>
      </c>
      <c r="Q7" s="9" t="str">
        <f>IF(D7="India",E7*IFERROR(VLOOKUP(B7,ListPrice_INR_lakh!$A$4:$B$25,2,FALSE),0)*(1-J7),"")</f>
        <v/>
      </c>
    </row>
    <row r="8" spans="1:17" x14ac:dyDescent="0.2">
      <c r="A8">
        <v>4</v>
      </c>
      <c r="B8" s="4" t="s">
        <v>24</v>
      </c>
      <c r="C8" t="str">
        <f>IFERROR(VLOOKUP(B8,SKUs!$A$2:$B$21,2,FALSE),"")</f>
        <v>Enterprise License - Site</v>
      </c>
      <c r="D8" s="5" t="s">
        <v>25</v>
      </c>
      <c r="E8" s="5">
        <v>1</v>
      </c>
      <c r="F8" s="6">
        <v>0.12</v>
      </c>
      <c r="G8" s="7">
        <f>IFERROR(VLOOKUP(B8,ListPrice_USD!$A$2:$B$23,2,FALSE),0)</f>
        <v>4800</v>
      </c>
      <c r="H8" s="8">
        <f>INDEX(Discounts!$B$5:$B$10,MATCH(E8,Discounts!$A$5:$A$10,1))</f>
        <v>0</v>
      </c>
      <c r="I8" s="8">
        <f ca="1">IF(TODAY()&lt;=Discounts!$B$13,Discounts!$B$12,0)</f>
        <v>0.05</v>
      </c>
      <c r="J8" s="8">
        <f t="shared" ca="1" si="0"/>
        <v>0.16999999999999998</v>
      </c>
      <c r="K8" s="7">
        <f t="shared" ca="1" si="1"/>
        <v>3984.0000000000005</v>
      </c>
      <c r="L8" s="7">
        <f t="shared" ca="1" si="2"/>
        <v>3984</v>
      </c>
      <c r="M8" t="str">
        <f>IFERROR(VLOOKUP(B8,SKUs!$A$2:$E$21,5,FALSE),"")</f>
        <v>Y</v>
      </c>
      <c r="N8" s="7">
        <f>IFERROR(VLOOKUP(B8,SKUs!$A$2:$D$21,4,FALSE),0)</f>
        <v>1102.5</v>
      </c>
      <c r="O8" s="8">
        <f t="shared" ca="1" si="3"/>
        <v>0.72326807228915668</v>
      </c>
      <c r="P8" t="str">
        <f t="shared" ca="1" si="4"/>
        <v>Director</v>
      </c>
      <c r="Q8" s="9" t="str">
        <f>IF(D8="India",E8*IFERROR(VLOOKUP(B8,ListPrice_INR_lakh!$A$4:$B$25,2,FALSE),0)*(1-J8),"")</f>
        <v/>
      </c>
    </row>
    <row r="9" spans="1:17" x14ac:dyDescent="0.2">
      <c r="A9">
        <v>5</v>
      </c>
      <c r="B9" s="4" t="s">
        <v>26</v>
      </c>
      <c r="C9" t="str">
        <f>IFERROR(VLOOKUP(B9,SKUs!$A$2:$B$21,2,FALSE),"")</f>
        <v>Analytics Module</v>
      </c>
      <c r="D9" s="5" t="s">
        <v>27</v>
      </c>
      <c r="E9" s="5">
        <v>30</v>
      </c>
      <c r="F9" s="6">
        <v>0.1</v>
      </c>
      <c r="G9" s="7">
        <f>IFERROR(VLOOKUP(B9,ListPrice_USD!$A$2:$B$23,2,FALSE),0)</f>
        <v>649.5</v>
      </c>
      <c r="H9" s="8">
        <f>INDEX(Discounts!$B$5:$B$10,MATCH(E9,Discounts!$A$5:$A$10,1))</f>
        <v>0.05</v>
      </c>
      <c r="I9" s="8">
        <f ca="1">IF(TODAY()&lt;=Discounts!$B$13,Discounts!$B$12,0)</f>
        <v>0.05</v>
      </c>
      <c r="J9" s="8">
        <f t="shared" ca="1" si="0"/>
        <v>0.2</v>
      </c>
      <c r="K9" s="7">
        <f t="shared" ca="1" si="1"/>
        <v>519.6</v>
      </c>
      <c r="L9" s="7">
        <f t="shared" ca="1" si="2"/>
        <v>15588</v>
      </c>
      <c r="M9" t="str">
        <f>IFERROR(VLOOKUP(B9,SKUs!$A$2:$E$21,5,FALSE),"")</f>
        <v>Y</v>
      </c>
      <c r="N9" s="7">
        <f>IFERROR(VLOOKUP(B9,SKUs!$A$2:$D$21,4,FALSE),0)</f>
        <v>162.38</v>
      </c>
      <c r="O9" s="8">
        <f t="shared" ca="1" si="3"/>
        <v>0.68749037721324102</v>
      </c>
      <c r="P9" t="str">
        <f t="shared" ca="1" si="4"/>
        <v>Director</v>
      </c>
      <c r="Q9" s="9">
        <f ca="1">IF(D9="India",E9*IFERROR(VLOOKUP(B9,ListPrice_INR_lakh!$A$4:$B$25,2,FALSE),0)*(1-J9),"")</f>
        <v>12.969216000000001</v>
      </c>
    </row>
    <row r="10" spans="1:17" x14ac:dyDescent="0.2">
      <c r="A10">
        <v>6</v>
      </c>
      <c r="B10" s="4" t="s">
        <v>28</v>
      </c>
      <c r="C10" t="str">
        <f>IFERROR(VLOOKUP(B10,SKUs!$A$2:$B$21,2,FALSE),"")</f>
        <v>Security Add-on</v>
      </c>
      <c r="D10" s="5" t="s">
        <v>27</v>
      </c>
      <c r="E10" s="5">
        <v>60</v>
      </c>
      <c r="F10" s="6">
        <v>0.05</v>
      </c>
      <c r="G10" s="7">
        <f>IFERROR(VLOOKUP(B10,ListPrice_USD!$A$2:$B$23,2,FALSE),0)</f>
        <v>412.75</v>
      </c>
      <c r="H10" s="8">
        <f>INDEX(Discounts!$B$5:$B$10,MATCH(E10,Discounts!$A$5:$A$10,1))</f>
        <v>7.4999999999999997E-2</v>
      </c>
      <c r="I10" s="8">
        <f ca="1">IF(TODAY()&lt;=Discounts!$B$13,Discounts!$B$12,0)</f>
        <v>0.05</v>
      </c>
      <c r="J10" s="8">
        <f t="shared" ca="1" si="0"/>
        <v>0.17499999999999999</v>
      </c>
      <c r="K10" s="7">
        <f t="shared" ca="1" si="1"/>
        <v>340.51874999999995</v>
      </c>
      <c r="L10" s="7">
        <f t="shared" ca="1" si="2"/>
        <v>20431.13</v>
      </c>
      <c r="M10" t="str">
        <f>IFERROR(VLOOKUP(B10,SKUs!$A$2:$E$21,5,FALSE),"")</f>
        <v>Y</v>
      </c>
      <c r="N10" s="7">
        <f>IFERROR(VLOOKUP(B10,SKUs!$A$2:$D$21,4,FALSE),0)</f>
        <v>111.44</v>
      </c>
      <c r="O10" s="8">
        <f t="shared" ca="1" si="3"/>
        <v>0.67273461446689786</v>
      </c>
      <c r="P10" t="str">
        <f t="shared" ca="1" si="4"/>
        <v>Director</v>
      </c>
      <c r="Q10" s="9">
        <f ca="1">IF(D10="India",E10*IFERROR(VLOOKUP(B10,ListPrice_INR_lakh!$A$4:$B$25,2,FALSE),0)*(1-J10),"")</f>
        <v>16.998696000000002</v>
      </c>
    </row>
    <row r="11" spans="1:17" x14ac:dyDescent="0.2">
      <c r="A11">
        <v>7</v>
      </c>
      <c r="B11" s="4" t="s">
        <v>29</v>
      </c>
      <c r="C11" t="str">
        <f>IFERROR(VLOOKUP(B11,SKUs!$A$2:$B$21,2,FALSE),"")</f>
        <v>Edge Gateway G2</v>
      </c>
      <c r="D11" s="5" t="s">
        <v>20</v>
      </c>
      <c r="E11" s="5">
        <v>300</v>
      </c>
      <c r="F11" s="6">
        <v>0.12</v>
      </c>
      <c r="G11" s="7">
        <f>IFERROR(VLOOKUP(B11,ListPrice_USD!$A$2:$B$23,2,FALSE),0)</f>
        <v>1249.99</v>
      </c>
      <c r="H11" s="8">
        <f>INDEX(Discounts!$B$5:$B$10,MATCH(E11,Discounts!$A$5:$A$10,1))</f>
        <v>0.15</v>
      </c>
      <c r="I11" s="8">
        <f ca="1">IF(TODAY()&lt;=Discounts!$B$13,Discounts!$B$12,0)</f>
        <v>0.05</v>
      </c>
      <c r="J11" s="8">
        <f t="shared" ca="1" si="0"/>
        <v>0.32</v>
      </c>
      <c r="K11" s="7">
        <f t="shared" ca="1" si="1"/>
        <v>849.99319999999989</v>
      </c>
      <c r="L11" s="7">
        <f t="shared" ca="1" si="2"/>
        <v>254997.96</v>
      </c>
      <c r="M11" t="str">
        <f>IFERROR(VLOOKUP(B11,SKUs!$A$2:$E$21,5,FALSE),"")</f>
        <v>Y</v>
      </c>
      <c r="N11" s="7">
        <f>IFERROR(VLOOKUP(B11,SKUs!$A$2:$D$21,4,FALSE),0)</f>
        <v>1037.49</v>
      </c>
      <c r="O11" s="8">
        <f t="shared" ca="1" si="3"/>
        <v>-0.22058623527811769</v>
      </c>
      <c r="P11" t="str">
        <f t="shared" ca="1" si="4"/>
        <v>VP</v>
      </c>
      <c r="Q11" s="9" t="str">
        <f>IF(D11="India",E11*IFERROR(VLOOKUP(B11,ListPrice_INR_lakh!$A$4:$B$25,2,FALSE),0)*(1-J11),"")</f>
        <v/>
      </c>
    </row>
    <row r="12" spans="1:17" x14ac:dyDescent="0.2">
      <c r="A12">
        <v>8</v>
      </c>
      <c r="B12" s="4" t="s">
        <v>30</v>
      </c>
      <c r="C12" t="str">
        <f>IFERROR(VLOOKUP(B12,SKUs!$A$2:$B$21,2,FALSE),"")</f>
        <v>Edge Gateway G3</v>
      </c>
      <c r="D12" s="5" t="s">
        <v>22</v>
      </c>
      <c r="E12" s="5">
        <v>18</v>
      </c>
      <c r="F12" s="6">
        <v>0.2</v>
      </c>
      <c r="G12" s="7">
        <f>IFERROR(VLOOKUP(B12,ListPrice_USD!$A$2:$B$23,2,FALSE),0)</f>
        <v>1699.99</v>
      </c>
      <c r="H12" s="8">
        <f>INDEX(Discounts!$B$5:$B$10,MATCH(E12,Discounts!$A$5:$A$10,1))</f>
        <v>0.05</v>
      </c>
      <c r="I12" s="8">
        <f ca="1">IF(TODAY()&lt;=Discounts!$B$13,Discounts!$B$12,0)</f>
        <v>0.05</v>
      </c>
      <c r="J12" s="8">
        <f t="shared" ca="1" si="0"/>
        <v>0.3</v>
      </c>
      <c r="K12" s="7">
        <f t="shared" ca="1" si="1"/>
        <v>1189.9929999999999</v>
      </c>
      <c r="L12" s="7">
        <f t="shared" ca="1" si="2"/>
        <v>21419.87</v>
      </c>
      <c r="M12" t="str">
        <f>IFERROR(VLOOKUP(B12,SKUs!$A$2:$E$21,5,FALSE),"")</f>
        <v>Y</v>
      </c>
      <c r="N12" s="7">
        <f>IFERROR(VLOOKUP(B12,SKUs!$A$2:$D$21,4,FALSE),0)</f>
        <v>1359.99</v>
      </c>
      <c r="O12" s="8">
        <f t="shared" ca="1" si="3"/>
        <v>-0.14285546217498765</v>
      </c>
      <c r="P12" t="str">
        <f t="shared" ca="1" si="4"/>
        <v>Director</v>
      </c>
      <c r="Q12" s="9" t="str">
        <f>IF(D12="India",E12*IFERROR(VLOOKUP(B12,ListPrice_INR_lakh!$A$4:$B$25,2,FALSE),0)*(1-J12),"")</f>
        <v/>
      </c>
    </row>
    <row r="13" spans="1:17" x14ac:dyDescent="0.2">
      <c r="A13">
        <v>9</v>
      </c>
      <c r="B13" s="4" t="s">
        <v>31</v>
      </c>
      <c r="C13" t="str">
        <f>IFERROR(VLOOKUP(B13,SKUs!$A$2:$B$21,2,FALSE),"")</f>
        <v>Sensor Pack (10)</v>
      </c>
      <c r="D13" s="5" t="s">
        <v>25</v>
      </c>
      <c r="E13" s="5">
        <v>75</v>
      </c>
      <c r="F13" s="6">
        <v>0.05</v>
      </c>
      <c r="G13" s="7">
        <f>IFERROR(VLOOKUP(B13,ListPrice_USD!$A$2:$B$23,2,FALSE),0)</f>
        <v>389.95</v>
      </c>
      <c r="H13" s="8">
        <f>INDEX(Discounts!$B$5:$B$10,MATCH(E13,Discounts!$A$5:$A$10,1))</f>
        <v>7.4999999999999997E-2</v>
      </c>
      <c r="I13" s="8">
        <f ca="1">IF(TODAY()&lt;=Discounts!$B$13,Discounts!$B$12,0)</f>
        <v>0.05</v>
      </c>
      <c r="J13" s="8">
        <f t="shared" ca="1" si="0"/>
        <v>0.17499999999999999</v>
      </c>
      <c r="K13" s="7">
        <f t="shared" ca="1" si="1"/>
        <v>321.70874999999995</v>
      </c>
      <c r="L13" s="7">
        <f t="shared" ca="1" si="2"/>
        <v>24128.16</v>
      </c>
      <c r="M13" t="str">
        <f>IFERROR(VLOOKUP(B13,SKUs!$A$2:$E$21,5,FALSE),"")</f>
        <v>Y</v>
      </c>
      <c r="N13" s="7">
        <f>IFERROR(VLOOKUP(B13,SKUs!$A$2:$D$21,4,FALSE),0)</f>
        <v>335.36</v>
      </c>
      <c r="O13" s="8">
        <f t="shared" ca="1" si="3"/>
        <v>-4.2433567629105717E-2</v>
      </c>
      <c r="P13" t="str">
        <f t="shared" ca="1" si="4"/>
        <v>Director</v>
      </c>
      <c r="Q13" s="9" t="str">
        <f>IF(D13="India",E13*IFERROR(VLOOKUP(B13,ListPrice_INR_lakh!$A$4:$B$25,2,FALSE),0)*(1-J13),"")</f>
        <v/>
      </c>
    </row>
    <row r="14" spans="1:17" x14ac:dyDescent="0.2">
      <c r="A14">
        <v>10</v>
      </c>
      <c r="B14" s="4" t="s">
        <v>32</v>
      </c>
      <c r="C14" t="str">
        <f>IFERROR(VLOOKUP(B14,SKUs!$A$2:$B$21,2,FALSE),"")</f>
        <v>Rack Mount Kit</v>
      </c>
      <c r="D14" s="5" t="s">
        <v>27</v>
      </c>
      <c r="E14" s="5">
        <v>8</v>
      </c>
      <c r="F14" s="6">
        <v>0</v>
      </c>
      <c r="G14" s="7">
        <f>IFERROR(VLOOKUP(B14,ListPrice_USD!$A$2:$B$23,2,FALSE),0)</f>
        <v>145.6</v>
      </c>
      <c r="H14" s="8">
        <f>INDEX(Discounts!$B$5:$B$10,MATCH(E14,Discounts!$A$5:$A$10,1))</f>
        <v>0</v>
      </c>
      <c r="I14" s="8">
        <f ca="1">IF(TODAY()&lt;=Discounts!$B$13,Discounts!$B$12,0)</f>
        <v>0.05</v>
      </c>
      <c r="J14" s="8">
        <f t="shared" ca="1" si="0"/>
        <v>0.05</v>
      </c>
      <c r="K14" s="7">
        <f t="shared" ca="1" si="1"/>
        <v>138.32</v>
      </c>
      <c r="L14" s="7">
        <f t="shared" ca="1" si="2"/>
        <v>1106.56</v>
      </c>
      <c r="M14" t="str">
        <f>IFERROR(VLOOKUP(B14,SKUs!$A$2:$E$21,5,FALSE),"")</f>
        <v>Y</v>
      </c>
      <c r="N14" s="7">
        <f>IFERROR(VLOOKUP(B14,SKUs!$A$2:$D$21,4,FALSE),0)</f>
        <v>113.57</v>
      </c>
      <c r="O14" s="8">
        <f t="shared" ca="1" si="3"/>
        <v>0.17893290919606711</v>
      </c>
      <c r="P14" t="str">
        <f t="shared" ca="1" si="4"/>
        <v>Manager</v>
      </c>
      <c r="Q14" s="9">
        <f ca="1">IF(D14="India",E14*IFERROR(VLOOKUP(B14,ListPrice_INR_lakh!$A$4:$B$25,2,FALSE),0)*(1-J14),"")</f>
        <v>0.92065792000000002</v>
      </c>
    </row>
    <row r="15" spans="1:17" x14ac:dyDescent="0.2">
      <c r="A15">
        <v>11</v>
      </c>
      <c r="B15" s="4" t="s">
        <v>33</v>
      </c>
      <c r="C15" t="str">
        <f>IFERROR(VLOOKUP(B15,SKUs!$A$2:$B$21,2,FALSE),"")</f>
        <v>Implementation - Standard</v>
      </c>
      <c r="D15" s="5" t="s">
        <v>20</v>
      </c>
      <c r="E15" s="5">
        <v>2</v>
      </c>
      <c r="F15" s="6">
        <v>0.1</v>
      </c>
      <c r="G15" s="7">
        <f>IFERROR(VLOOKUP(B15,ListPrice_USD!$A$2:$B$23,2,FALSE),0)</f>
        <v>7500</v>
      </c>
      <c r="H15" s="8">
        <f>INDEX(Discounts!$B$5:$B$10,MATCH(E15,Discounts!$A$5:$A$10,1))</f>
        <v>0</v>
      </c>
      <c r="I15" s="8">
        <f ca="1">IF(TODAY()&lt;=Discounts!$B$13,Discounts!$B$12,0)</f>
        <v>0.05</v>
      </c>
      <c r="J15" s="8">
        <f t="shared" ca="1" si="0"/>
        <v>0.15000000000000002</v>
      </c>
      <c r="K15" s="7">
        <f t="shared" ca="1" si="1"/>
        <v>6375</v>
      </c>
      <c r="L15" s="7">
        <f t="shared" ca="1" si="2"/>
        <v>12750</v>
      </c>
      <c r="M15" t="str">
        <f>IFERROR(VLOOKUP(B15,SKUs!$A$2:$E$21,5,FALSE),"")</f>
        <v>Y</v>
      </c>
      <c r="N15" s="7">
        <f>IFERROR(VLOOKUP(B15,SKUs!$A$2:$D$21,4,FALSE),0)</f>
        <v>4650</v>
      </c>
      <c r="O15" s="8">
        <f t="shared" ca="1" si="3"/>
        <v>0.27058823529411763</v>
      </c>
      <c r="P15" t="str">
        <f t="shared" ca="1" si="4"/>
        <v>Director</v>
      </c>
      <c r="Q15" s="9" t="str">
        <f>IF(D15="India",E15*IFERROR(VLOOKUP(B15,ListPrice_INR_lakh!$A$4:$B$25,2,FALSE),0)*(1-J15),"")</f>
        <v/>
      </c>
    </row>
    <row r="16" spans="1:17" x14ac:dyDescent="0.2">
      <c r="A16">
        <v>12</v>
      </c>
      <c r="B16" s="4" t="s">
        <v>34</v>
      </c>
      <c r="C16" t="str">
        <f>IFERROR(VLOOKUP(B16,SKUs!$A$2:$B$21,2,FALSE),"")</f>
        <v>Implementation - Premium</v>
      </c>
      <c r="D16" s="5" t="s">
        <v>22</v>
      </c>
      <c r="E16" s="5">
        <v>1</v>
      </c>
      <c r="F16" s="6">
        <v>0.18</v>
      </c>
      <c r="G16" s="7">
        <f>IFERROR(VLOOKUP(B16,ListPrice_USD!$A$2:$B$23,2,FALSE),0)</f>
        <v>14200</v>
      </c>
      <c r="H16" s="8">
        <f>INDEX(Discounts!$B$5:$B$10,MATCH(E16,Discounts!$A$5:$A$10,1))</f>
        <v>0</v>
      </c>
      <c r="I16" s="8">
        <f ca="1">IF(TODAY()&lt;=Discounts!$B$13,Discounts!$B$12,0)</f>
        <v>0.05</v>
      </c>
      <c r="J16" s="8">
        <f t="shared" ca="1" si="0"/>
        <v>0.22999999999999998</v>
      </c>
      <c r="K16" s="7">
        <f t="shared" ca="1" si="1"/>
        <v>10934</v>
      </c>
      <c r="L16" s="7">
        <f t="shared" ca="1" si="2"/>
        <v>10934</v>
      </c>
      <c r="M16" t="str">
        <f>IFERROR(VLOOKUP(B16,SKUs!$A$2:$E$21,5,FALSE),"")</f>
        <v>Y</v>
      </c>
      <c r="N16" s="7">
        <f>IFERROR(VLOOKUP(B16,SKUs!$A$2:$D$21,4,FALSE),0)</f>
        <v>8236</v>
      </c>
      <c r="O16" s="8">
        <f t="shared" ca="1" si="3"/>
        <v>0.24675324675324675</v>
      </c>
      <c r="P16" t="str">
        <f t="shared" ca="1" si="4"/>
        <v>Director</v>
      </c>
      <c r="Q16" s="9" t="str">
        <f>IF(D16="India",E16*IFERROR(VLOOKUP(B16,ListPrice_INR_lakh!$A$4:$B$25,2,FALSE),0)*(1-J16),"")</f>
        <v/>
      </c>
    </row>
    <row r="17" spans="1:17" x14ac:dyDescent="0.2">
      <c r="A17">
        <v>13</v>
      </c>
      <c r="B17" s="4" t="s">
        <v>35</v>
      </c>
      <c r="C17" t="str">
        <f>IFERROR(VLOOKUP(B17,SKUs!$A$2:$B$21,2,FALSE),"")</f>
        <v>Managed Service (annual)</v>
      </c>
      <c r="D17" s="5" t="s">
        <v>20</v>
      </c>
      <c r="E17" s="5">
        <v>3</v>
      </c>
      <c r="F17" s="6">
        <v>0.1</v>
      </c>
      <c r="G17" s="7">
        <f>IFERROR(VLOOKUP(B17,ListPrice_USD!$A$2:$B$23,2,FALSE),0)</f>
        <v>9800</v>
      </c>
      <c r="H17" s="8">
        <f>INDEX(Discounts!$B$5:$B$10,MATCH(E17,Discounts!$A$5:$A$10,1))</f>
        <v>0</v>
      </c>
      <c r="I17" s="8">
        <f ca="1">IF(TODAY()&lt;=Discounts!$B$13,Discounts!$B$12,0)</f>
        <v>0.05</v>
      </c>
      <c r="J17" s="8">
        <f t="shared" ca="1" si="0"/>
        <v>0.15000000000000002</v>
      </c>
      <c r="K17" s="7">
        <f t="shared" ca="1" si="1"/>
        <v>8330</v>
      </c>
      <c r="L17" s="7">
        <f t="shared" ca="1" si="2"/>
        <v>24990</v>
      </c>
      <c r="M17" t="str">
        <f>IFERROR(VLOOKUP(B17,SKUs!$A$2:$E$21,5,FALSE),"")</f>
        <v xml:space="preserve">Y </v>
      </c>
      <c r="N17" s="7">
        <f>IFERROR(VLOOKUP(B17,SKUs!$A$2:$D$21,4,FALSE),0)</f>
        <v>5390</v>
      </c>
      <c r="O17" s="8">
        <f t="shared" ca="1" si="3"/>
        <v>0.35294117647058826</v>
      </c>
      <c r="P17" t="str">
        <f t="shared" ca="1" si="4"/>
        <v>Director</v>
      </c>
      <c r="Q17" s="9" t="str">
        <f>IF(D17="India",E17*IFERROR(VLOOKUP(B17,ListPrice_INR_lakh!$A$4:$B$25,2,FALSE),0)*(1-J17),"")</f>
        <v/>
      </c>
    </row>
    <row r="18" spans="1:17" x14ac:dyDescent="0.2">
      <c r="A18">
        <v>14</v>
      </c>
      <c r="B18" s="4" t="s">
        <v>35</v>
      </c>
      <c r="C18" t="str">
        <f>IFERROR(VLOOKUP(B18,SKUs!$A$2:$B$21,2,FALSE),"")</f>
        <v>Managed Service (annual)</v>
      </c>
      <c r="D18" s="5" t="s">
        <v>27</v>
      </c>
      <c r="E18" s="5">
        <v>2</v>
      </c>
      <c r="F18" s="6">
        <v>0.12</v>
      </c>
      <c r="G18" s="7">
        <f>IFERROR(VLOOKUP(B18,ListPrice_USD!$A$2:$B$23,2,FALSE),0)</f>
        <v>9800</v>
      </c>
      <c r="H18" s="8">
        <f>INDEX(Discounts!$B$5:$B$10,MATCH(E18,Discounts!$A$5:$A$10,1))</f>
        <v>0</v>
      </c>
      <c r="I18" s="8">
        <f ca="1">IF(TODAY()&lt;=Discounts!$B$13,Discounts!$B$12,0)</f>
        <v>0.05</v>
      </c>
      <c r="J18" s="8">
        <f t="shared" ca="1" si="0"/>
        <v>0.16999999999999998</v>
      </c>
      <c r="K18" s="7">
        <f t="shared" ca="1" si="1"/>
        <v>8134.0000000000009</v>
      </c>
      <c r="L18" s="7">
        <f t="shared" ca="1" si="2"/>
        <v>16268</v>
      </c>
      <c r="M18" t="str">
        <f>IFERROR(VLOOKUP(B18,SKUs!$A$2:$E$21,5,FALSE),"")</f>
        <v xml:space="preserve">Y </v>
      </c>
      <c r="N18" s="7">
        <f>IFERROR(VLOOKUP(B18,SKUs!$A$2:$D$21,4,FALSE),0)</f>
        <v>5390</v>
      </c>
      <c r="O18" s="8">
        <f t="shared" ca="1" si="3"/>
        <v>0.33734939759036153</v>
      </c>
      <c r="P18" t="str">
        <f t="shared" ca="1" si="4"/>
        <v>Director</v>
      </c>
      <c r="Q18" s="9">
        <f ca="1">IF(D18="India",E18*IFERROR(VLOOKUP(B18,ListPrice_INR_lakh!$A$4:$B$25,2,FALSE),0)*(1-J18),"")</f>
        <v>13.534976000000002</v>
      </c>
    </row>
    <row r="19" spans="1:17" x14ac:dyDescent="0.2">
      <c r="A19">
        <v>15</v>
      </c>
      <c r="B19" s="4" t="s">
        <v>36</v>
      </c>
      <c r="C19" t="str">
        <f>IFERROR(VLOOKUP(B19,SKUs!$A$2:$B$21,2,FALSE),"")</f>
        <v>Health Check</v>
      </c>
      <c r="D19" s="5" t="s">
        <v>25</v>
      </c>
      <c r="E19" s="5">
        <v>4</v>
      </c>
      <c r="F19" s="6">
        <v>0</v>
      </c>
      <c r="G19" s="7">
        <f>IFERROR(VLOOKUP(B19,ListPrice_USD!$A$2:$B$23,2,FALSE),0)</f>
        <v>2350</v>
      </c>
      <c r="H19" s="8">
        <f>INDEX(Discounts!$B$5:$B$10,MATCH(E19,Discounts!$A$5:$A$10,1))</f>
        <v>0</v>
      </c>
      <c r="I19" s="8">
        <f ca="1">IF(TODAY()&lt;=Discounts!$B$13,Discounts!$B$12,0)</f>
        <v>0.05</v>
      </c>
      <c r="J19" s="8">
        <f t="shared" ca="1" si="0"/>
        <v>0.05</v>
      </c>
      <c r="K19" s="7">
        <f t="shared" ca="1" si="1"/>
        <v>2232.5</v>
      </c>
      <c r="L19" s="7">
        <f t="shared" ca="1" si="2"/>
        <v>8930</v>
      </c>
      <c r="M19" t="str">
        <f>IFERROR(VLOOKUP(B19,SKUs!$A$2:$E$21,5,FALSE),"")</f>
        <v>Y</v>
      </c>
      <c r="N19" s="7">
        <f>IFERROR(VLOOKUP(B19,SKUs!$A$2:$D$21,4,FALSE),0)</f>
        <v>1410</v>
      </c>
      <c r="O19" s="8">
        <f t="shared" ca="1" si="3"/>
        <v>0.36842105263157893</v>
      </c>
      <c r="P19" t="str">
        <f t="shared" ca="1" si="4"/>
        <v>Manager</v>
      </c>
      <c r="Q19" s="9" t="str">
        <f>IF(D19="India",E19*IFERROR(VLOOKUP(B19,ListPrice_INR_lakh!$A$4:$B$25,2,FALSE),0)*(1-J19),"")</f>
        <v/>
      </c>
    </row>
    <row r="20" spans="1:17" x14ac:dyDescent="0.2">
      <c r="A20">
        <v>16</v>
      </c>
      <c r="B20" s="4" t="s">
        <v>37</v>
      </c>
      <c r="C20" t="str">
        <f>IFERROR(VLOOKUP(B20,SKUs!$A$2:$B$21,2,FALSE),"")</f>
        <v>Admin Training (per seat)</v>
      </c>
      <c r="D20" s="5" t="s">
        <v>27</v>
      </c>
      <c r="E20" s="5">
        <v>6</v>
      </c>
      <c r="F20" s="6">
        <v>0.25</v>
      </c>
      <c r="G20" s="7">
        <f>IFERROR(VLOOKUP(B20,ListPrice_USD!$A$2:$B$23,2,FALSE),0)</f>
        <v>480</v>
      </c>
      <c r="H20" s="8">
        <f>INDEX(Discounts!$B$5:$B$10,MATCH(E20,Discounts!$A$5:$A$10,1))</f>
        <v>0</v>
      </c>
      <c r="I20" s="8">
        <f ca="1">IF(TODAY()&lt;=Discounts!$B$13,Discounts!$B$12,0)</f>
        <v>0.05</v>
      </c>
      <c r="J20" s="8">
        <f t="shared" ca="1" si="0"/>
        <v>0.3</v>
      </c>
      <c r="K20" s="7">
        <f t="shared" ca="1" si="1"/>
        <v>336</v>
      </c>
      <c r="L20" s="7">
        <f t="shared" ca="1" si="2"/>
        <v>2016</v>
      </c>
      <c r="M20" t="str">
        <f>IFERROR(VLOOKUP(B20,SKUs!$A$2:$E$21,5,FALSE),"")</f>
        <v>Y</v>
      </c>
      <c r="N20" s="7">
        <f>IFERROR(VLOOKUP(B20,SKUs!$A$2:$D$21,4,FALSE),0)</f>
        <v>168</v>
      </c>
      <c r="O20" s="8">
        <f t="shared" ca="1" si="3"/>
        <v>0.5</v>
      </c>
      <c r="P20" t="str">
        <f t="shared" ca="1" si="4"/>
        <v>Director</v>
      </c>
      <c r="Q20" s="9">
        <f ca="1">IF(D20="India",E20*IFERROR(VLOOKUP(B20,ListPrice_INR_lakh!$A$4:$B$25,2,FALSE),0)*(1-J20),"")</f>
        <v>1.6773119999999999</v>
      </c>
    </row>
    <row r="21" spans="1:17" x14ac:dyDescent="0.2">
      <c r="A21">
        <v>17</v>
      </c>
      <c r="B21" s="4" t="s">
        <v>38</v>
      </c>
      <c r="C21" t="str">
        <f>IFERROR(VLOOKUP(B21,SKUs!$A$2:$B$21,2,FALSE),"")</f>
        <v>Developer Bootcamp</v>
      </c>
      <c r="D21" s="5" t="s">
        <v>20</v>
      </c>
      <c r="E21" s="5">
        <v>5</v>
      </c>
      <c r="F21" s="6">
        <v>0.2</v>
      </c>
      <c r="G21" s="7">
        <f>IFERROR(VLOOKUP(B21,ListPrice_USD!$A$2:$B$23,2,FALSE),0)</f>
        <v>2650</v>
      </c>
      <c r="H21" s="8">
        <f>INDEX(Discounts!$B$5:$B$10,MATCH(E21,Discounts!$A$5:$A$10,1))</f>
        <v>0</v>
      </c>
      <c r="I21" s="8">
        <f ca="1">IF(TODAY()&lt;=Discounts!$B$13,Discounts!$B$12,0)</f>
        <v>0.05</v>
      </c>
      <c r="J21" s="8">
        <f t="shared" ca="1" si="0"/>
        <v>0.25</v>
      </c>
      <c r="K21" s="7">
        <f t="shared" ca="1" si="1"/>
        <v>1987.5</v>
      </c>
      <c r="L21" s="7">
        <f t="shared" ca="1" si="2"/>
        <v>9937.5</v>
      </c>
      <c r="M21" t="str">
        <f>IFERROR(VLOOKUP(B21,SKUs!$A$2:$E$21,5,FALSE),"")</f>
        <v>Y</v>
      </c>
      <c r="N21" s="7">
        <f>IFERROR(VLOOKUP(B21,SKUs!$A$2:$D$21,4,FALSE),0)</f>
        <v>1060</v>
      </c>
      <c r="O21" s="8">
        <f t="shared" ca="1" si="3"/>
        <v>0.46666666666666667</v>
      </c>
      <c r="P21" t="str">
        <f t="shared" ca="1" si="4"/>
        <v>Director</v>
      </c>
      <c r="Q21" s="9" t="str">
        <f>IF(D21="India",E21*IFERROR(VLOOKUP(B21,ListPrice_INR_lakh!$A$4:$B$25,2,FALSE),0)*(1-J21),"")</f>
        <v/>
      </c>
    </row>
    <row r="22" spans="1:17" x14ac:dyDescent="0.2">
      <c r="A22">
        <v>18</v>
      </c>
      <c r="B22" s="4" t="s">
        <v>39</v>
      </c>
      <c r="C22" t="str">
        <f>IFERROR(VLOOKUP(B22,SKUs!$A$2:$B$21,2,FALSE),"")</f>
        <v>Premier Support (annual)</v>
      </c>
      <c r="D22" s="5" t="s">
        <v>22</v>
      </c>
      <c r="E22" s="5">
        <v>10</v>
      </c>
      <c r="F22" s="6">
        <v>0.15</v>
      </c>
      <c r="G22" s="7">
        <f>IFERROR(VLOOKUP(B22,ListPrice_USD!$A$2:$B$23,2,FALSE),0)</f>
        <v>3999</v>
      </c>
      <c r="H22" s="8">
        <f>INDEX(Discounts!$B$5:$B$10,MATCH(E22,Discounts!$A$5:$A$10,1))</f>
        <v>0.05</v>
      </c>
      <c r="I22" s="8">
        <f ca="1">IF(TODAY()&lt;=Discounts!$B$13,Discounts!$B$12,0)</f>
        <v>0.05</v>
      </c>
      <c r="J22" s="8">
        <f t="shared" ca="1" si="0"/>
        <v>0.25</v>
      </c>
      <c r="K22" s="7">
        <f t="shared" ca="1" si="1"/>
        <v>2999.25</v>
      </c>
      <c r="L22" s="7">
        <f t="shared" ca="1" si="2"/>
        <v>29992.5</v>
      </c>
      <c r="M22" t="str">
        <f>IFERROR(VLOOKUP(B22,SKUs!$A$2:$E$21,5,FALSE),"")</f>
        <v>Y</v>
      </c>
      <c r="N22" s="7">
        <f>IFERROR(VLOOKUP(B22,SKUs!$A$2:$D$21,4,FALSE),0)</f>
        <v>1199.7</v>
      </c>
      <c r="O22" s="8">
        <f t="shared" ca="1" si="3"/>
        <v>0.6</v>
      </c>
      <c r="P22" t="str">
        <f t="shared" ca="1" si="4"/>
        <v>Director</v>
      </c>
      <c r="Q22" s="9" t="str">
        <f>IF(D22="India",E22*IFERROR(VLOOKUP(B22,ListPrice_INR_lakh!$A$4:$B$25,2,FALSE),0)*(1-J22),"")</f>
        <v/>
      </c>
    </row>
    <row r="23" spans="1:17" x14ac:dyDescent="0.2">
      <c r="A23">
        <v>19</v>
      </c>
      <c r="B23" s="4" t="s">
        <v>40</v>
      </c>
      <c r="C23" t="str">
        <f>IFERROR(VLOOKUP(B23,SKUs!$A$2:$B$21,2,FALSE),"")</f>
        <v>Standard Support (annual)</v>
      </c>
      <c r="D23" s="5" t="s">
        <v>25</v>
      </c>
      <c r="E23" s="5">
        <v>35</v>
      </c>
      <c r="F23" s="6">
        <v>0.25</v>
      </c>
      <c r="G23" s="7">
        <f>IFERROR(VLOOKUP(B23,ListPrice_USD!$A$2:$B$23,2,FALSE),0)</f>
        <v>1299</v>
      </c>
      <c r="H23" s="8">
        <f>INDEX(Discounts!$B$5:$B$10,MATCH(E23,Discounts!$A$5:$A$10,1))</f>
        <v>0.05</v>
      </c>
      <c r="I23" s="8">
        <f ca="1">IF(TODAY()&lt;=Discounts!$B$13,Discounts!$B$12,0)</f>
        <v>0.05</v>
      </c>
      <c r="J23" s="8">
        <f t="shared" ca="1" si="0"/>
        <v>0.35</v>
      </c>
      <c r="K23" s="7">
        <f t="shared" ca="1" si="1"/>
        <v>844.35</v>
      </c>
      <c r="L23" s="7">
        <f t="shared" ca="1" si="2"/>
        <v>29552.25</v>
      </c>
      <c r="M23" t="str">
        <f>IFERROR(VLOOKUP(B23,SKUs!$A$2:$E$21,5,FALSE),"")</f>
        <v>Y</v>
      </c>
      <c r="N23" s="7">
        <f>IFERROR(VLOOKUP(B23,SKUs!$A$2:$D$21,4,FALSE),0)</f>
        <v>363.72</v>
      </c>
      <c r="O23" s="8">
        <f t="shared" ca="1" si="3"/>
        <v>0.56923076923076921</v>
      </c>
      <c r="P23" t="str">
        <f t="shared" ca="1" si="4"/>
        <v>VP</v>
      </c>
      <c r="Q23" s="9" t="str">
        <f>IF(D23="India",E23*IFERROR(VLOOKUP(B23,ListPrice_INR_lakh!$A$4:$B$25,2,FALSE),0)*(1-J23),"")</f>
        <v/>
      </c>
    </row>
    <row r="24" spans="1:17" x14ac:dyDescent="0.2">
      <c r="A24">
        <v>20</v>
      </c>
      <c r="B24" s="4" t="s">
        <v>41</v>
      </c>
      <c r="C24" t="str">
        <f>IFERROR(VLOOKUP(B24,SKUs!$A$2:$B$21,2,FALSE),"")</f>
        <v/>
      </c>
      <c r="D24" s="5" t="s">
        <v>20</v>
      </c>
      <c r="E24" s="5">
        <v>50</v>
      </c>
      <c r="F24" s="6">
        <v>0.05</v>
      </c>
      <c r="G24" s="7">
        <f>IFERROR(VLOOKUP(B24,ListPrice_USD!$A$2:$B$23,2,FALSE),0)</f>
        <v>0</v>
      </c>
      <c r="H24" s="8">
        <f>INDEX(Discounts!$B$5:$B$10,MATCH(E24,Discounts!$A$5:$A$10,1))</f>
        <v>0.1</v>
      </c>
      <c r="I24" s="8">
        <f ca="1">IF(TODAY()&lt;=Discounts!$B$13,Discounts!$B$12,0)</f>
        <v>0.05</v>
      </c>
      <c r="J24" s="8">
        <f t="shared" ca="1" si="0"/>
        <v>0.2</v>
      </c>
      <c r="K24" s="7">
        <f t="shared" ca="1" si="1"/>
        <v>0</v>
      </c>
      <c r="L24" s="7">
        <f t="shared" ca="1" si="2"/>
        <v>0</v>
      </c>
      <c r="M24" t="str">
        <f>IFERROR(VLOOKUP(B24,SKUs!$A$2:$E$21,5,FALSE),"")</f>
        <v/>
      </c>
      <c r="N24" s="7">
        <f>IFERROR(VLOOKUP(B24,SKUs!$A$2:$D$21,4,FALSE),0)</f>
        <v>0</v>
      </c>
      <c r="O24" s="8">
        <f t="shared" ca="1" si="3"/>
        <v>0</v>
      </c>
      <c r="P24" t="str">
        <f t="shared" ca="1" si="4"/>
        <v>Director</v>
      </c>
      <c r="Q24" s="9" t="str">
        <f>IF(D24="India",E24*IFERROR(VLOOKUP(B24,ListPrice_INR_lakh!$A$4:$B$25,2,FALSE),0)*(1-J24),"")</f>
        <v/>
      </c>
    </row>
    <row r="25" spans="1:17" x14ac:dyDescent="0.2">
      <c r="A25">
        <v>21</v>
      </c>
      <c r="B25" s="4" t="s">
        <v>42</v>
      </c>
      <c r="C25" t="str">
        <f>IFERROR(VLOOKUP(B25,SKUs!$A$2:$B$21,2,FALSE),"")</f>
        <v/>
      </c>
      <c r="D25" s="5" t="s">
        <v>22</v>
      </c>
      <c r="E25" s="5">
        <v>20</v>
      </c>
      <c r="F25" s="6">
        <v>0.1</v>
      </c>
      <c r="G25" s="7">
        <f>IFERROR(VLOOKUP(B25,ListPrice_USD!$A$2:$B$23,2,FALSE),0)</f>
        <v>0</v>
      </c>
      <c r="H25" s="8">
        <f>INDEX(Discounts!$B$5:$B$10,MATCH(E25,Discounts!$A$5:$A$10,1))</f>
        <v>0.05</v>
      </c>
      <c r="I25" s="8">
        <f ca="1">IF(TODAY()&lt;=Discounts!$B$13,Discounts!$B$12,0)</f>
        <v>0.05</v>
      </c>
      <c r="J25" s="8">
        <f t="shared" ca="1" si="0"/>
        <v>0.2</v>
      </c>
      <c r="K25" s="7">
        <f t="shared" ca="1" si="1"/>
        <v>0</v>
      </c>
      <c r="L25" s="7">
        <f t="shared" ca="1" si="2"/>
        <v>0</v>
      </c>
      <c r="M25" t="str">
        <f>IFERROR(VLOOKUP(B25,SKUs!$A$2:$E$21,5,FALSE),"")</f>
        <v/>
      </c>
      <c r="N25" s="7">
        <f>IFERROR(VLOOKUP(B25,SKUs!$A$2:$D$21,4,FALSE),0)</f>
        <v>0</v>
      </c>
      <c r="O25" s="8">
        <f t="shared" ca="1" si="3"/>
        <v>0</v>
      </c>
      <c r="P25" t="str">
        <f t="shared" ca="1" si="4"/>
        <v>Director</v>
      </c>
      <c r="Q25" s="9" t="str">
        <f>IF(D25="India",E25*IFERROR(VLOOKUP(B25,ListPrice_INR_lakh!$A$4:$B$25,2,FALSE),0)*(1-J25),"")</f>
        <v/>
      </c>
    </row>
    <row r="26" spans="1:17" x14ac:dyDescent="0.2">
      <c r="A26">
        <v>22</v>
      </c>
      <c r="B26" s="4" t="s">
        <v>23</v>
      </c>
      <c r="C26" t="str">
        <f>IFERROR(VLOOKUP(B26,SKUs!$A$2:$B$21,2,FALSE),"")</f>
        <v>Enterprise License - 1 seat</v>
      </c>
      <c r="D26" s="5" t="s">
        <v>27</v>
      </c>
      <c r="E26" s="5">
        <v>260</v>
      </c>
      <c r="F26" s="6">
        <v>0.2</v>
      </c>
      <c r="G26" s="7">
        <f>IFERROR(VLOOKUP(B26,ListPrice_USD!$A$2:$B$23,2,FALSE),0)</f>
        <v>1849</v>
      </c>
      <c r="H26" s="8">
        <f>INDEX(Discounts!$B$5:$B$10,MATCH(E26,Discounts!$A$5:$A$10,1))</f>
        <v>0.15</v>
      </c>
      <c r="I26" s="8">
        <f ca="1">IF(TODAY()&lt;=Discounts!$B$13,Discounts!$B$12,0)</f>
        <v>0.05</v>
      </c>
      <c r="J26" s="8">
        <f t="shared" ca="1" si="0"/>
        <v>0.39999999999999997</v>
      </c>
      <c r="K26" s="7">
        <f t="shared" ca="1" si="1"/>
        <v>1109.4000000000001</v>
      </c>
      <c r="L26" s="7">
        <f t="shared" ca="1" si="2"/>
        <v>288444</v>
      </c>
      <c r="M26" t="str">
        <f>IFERROR(VLOOKUP(B26,SKUs!$A$2:$E$21,5,FALSE),"")</f>
        <v>Y</v>
      </c>
      <c r="N26" s="7">
        <f>IFERROR(VLOOKUP(B26,SKUs!$A$2:$D$21,4,FALSE),0)</f>
        <v>369.8</v>
      </c>
      <c r="O26" s="8">
        <f t="shared" ca="1" si="3"/>
        <v>0.66666666666666674</v>
      </c>
      <c r="P26" t="str">
        <f t="shared" ca="1" si="4"/>
        <v>VP</v>
      </c>
      <c r="Q26" s="9">
        <f ca="1">IF(D26="India",E26*IFERROR(VLOOKUP(B26,ListPrice_INR_lakh!$A$4:$B$25,2,FALSE),0)*(1-J26),"")</f>
        <v>239.98540800000006</v>
      </c>
    </row>
    <row r="27" spans="1:17" x14ac:dyDescent="0.2">
      <c r="A27">
        <v>23</v>
      </c>
      <c r="B27" s="4" t="s">
        <v>30</v>
      </c>
      <c r="C27" t="str">
        <f>IFERROR(VLOOKUP(B27,SKUs!$A$2:$B$21,2,FALSE),"")</f>
        <v>Edge Gateway G3</v>
      </c>
      <c r="D27" s="5" t="s">
        <v>20</v>
      </c>
      <c r="E27" s="5">
        <v>55</v>
      </c>
      <c r="F27" s="6">
        <v>0.22</v>
      </c>
      <c r="G27" s="7">
        <f>IFERROR(VLOOKUP(B27,ListPrice_USD!$A$2:$B$23,2,FALSE),0)</f>
        <v>1699.99</v>
      </c>
      <c r="H27" s="8">
        <f>INDEX(Discounts!$B$5:$B$10,MATCH(E27,Discounts!$A$5:$A$10,1))</f>
        <v>7.4999999999999997E-2</v>
      </c>
      <c r="I27" s="8">
        <f ca="1">IF(TODAY()&lt;=Discounts!$B$13,Discounts!$B$12,0)</f>
        <v>0.05</v>
      </c>
      <c r="J27" s="8">
        <f t="shared" ca="1" si="0"/>
        <v>0.34499999999999997</v>
      </c>
      <c r="K27" s="7">
        <f t="shared" ca="1" si="1"/>
        <v>1113.4934499999999</v>
      </c>
      <c r="L27" s="7">
        <f t="shared" ca="1" si="2"/>
        <v>61242.14</v>
      </c>
      <c r="M27" t="str">
        <f>IFERROR(VLOOKUP(B27,SKUs!$A$2:$E$21,5,FALSE),"")</f>
        <v>Y</v>
      </c>
      <c r="N27" s="7">
        <f>IFERROR(VLOOKUP(B27,SKUs!$A$2:$D$21,4,FALSE),0)</f>
        <v>1359.99</v>
      </c>
      <c r="O27" s="8">
        <f t="shared" ca="1" si="3"/>
        <v>-0.22137224965265856</v>
      </c>
      <c r="P27" t="str">
        <f t="shared" ca="1" si="4"/>
        <v>VP</v>
      </c>
      <c r="Q27" s="9" t="str">
        <f>IF(D27="India",E27*IFERROR(VLOOKUP(B27,ListPrice_INR_lakh!$A$4:$B$25,2,FALSE),0)*(1-J27),"")</f>
        <v/>
      </c>
    </row>
    <row r="28" spans="1:17" x14ac:dyDescent="0.2">
      <c r="A28">
        <v>24</v>
      </c>
      <c r="B28" s="4" t="s">
        <v>19</v>
      </c>
      <c r="C28" t="str">
        <f>IFERROR(VLOOKUP(B28,SKUs!$A$2:$B$21,2,FALSE),"")</f>
        <v>Pro License - 1 seat</v>
      </c>
      <c r="D28" s="5" t="s">
        <v>25</v>
      </c>
      <c r="E28" s="5">
        <v>9</v>
      </c>
      <c r="F28" s="6">
        <v>0</v>
      </c>
      <c r="G28" s="7">
        <f>IFERROR(VLOOKUP(B28,ListPrice_USD!$A$2:$B$23,2,FALSE),0)</f>
        <v>899</v>
      </c>
      <c r="H28" s="8">
        <f>INDEX(Discounts!$B$5:$B$10,MATCH(E28,Discounts!$A$5:$A$10,1))</f>
        <v>0</v>
      </c>
      <c r="I28" s="8">
        <f ca="1">IF(TODAY()&lt;=Discounts!$B$13,Discounts!$B$12,0)</f>
        <v>0.05</v>
      </c>
      <c r="J28" s="8">
        <f t="shared" ca="1" si="0"/>
        <v>0.05</v>
      </c>
      <c r="K28" s="7">
        <f t="shared" ca="1" si="1"/>
        <v>854.05</v>
      </c>
      <c r="L28" s="7">
        <f t="shared" ca="1" si="2"/>
        <v>7686.45</v>
      </c>
      <c r="M28" t="str">
        <f>IFERROR(VLOOKUP(B28,SKUs!$A$2:$E$21,5,FALSE),"")</f>
        <v>Y</v>
      </c>
      <c r="N28" s="7">
        <f>IFERROR(VLOOKUP(B28,SKUs!$A$2:$D$21,4,FALSE),0)</f>
        <v>197.78</v>
      </c>
      <c r="O28" s="8">
        <f t="shared" ca="1" si="3"/>
        <v>0.768421052631579</v>
      </c>
      <c r="P28" t="str">
        <f t="shared" ca="1" si="4"/>
        <v>Manager</v>
      </c>
      <c r="Q28" s="9" t="str">
        <f>IF(D28="India",E28*IFERROR(VLOOKUP(B28,ListPrice_INR_lakh!$A$4:$B$25,2,FALSE),0)*(1-J28),"")</f>
        <v/>
      </c>
    </row>
    <row r="30" spans="1:17" x14ac:dyDescent="0.2">
      <c r="J30" s="10" t="s">
        <v>43</v>
      </c>
      <c r="K30" s="11"/>
      <c r="L30" s="12">
        <f ca="1">SUM(L5:L28)</f>
        <v>1034251.52</v>
      </c>
    </row>
    <row r="31" spans="1:17" x14ac:dyDescent="0.2">
      <c r="J31" s="13" t="s">
        <v>44</v>
      </c>
      <c r="L31" s="14">
        <f ca="1">SUMPRODUCT(K5:K28,E5:E28)</f>
        <v>1034251.5149999999</v>
      </c>
    </row>
    <row r="32" spans="1:17" x14ac:dyDescent="0.2">
      <c r="J32" s="13" t="s">
        <v>45</v>
      </c>
      <c r="L32" s="14">
        <f ca="1">SUMPRODUCT(--(M5:M28="Y"),L5:L28)</f>
        <v>992993.52</v>
      </c>
    </row>
    <row r="33" spans="10:12" x14ac:dyDescent="0.2">
      <c r="J33" s="13" t="s">
        <v>46</v>
      </c>
      <c r="L33" s="15">
        <f ca="1">IFERROR((L30-SUMPRODUCT(N5:N28,E5:E28))/L30,0)</f>
        <v>0.33831071381940064</v>
      </c>
    </row>
    <row r="34" spans="10:12" x14ac:dyDescent="0.2">
      <c r="J34" s="13" t="s">
        <v>47</v>
      </c>
      <c r="L34" s="16" t="str">
        <f ca="1">IF(COUNTIF(P5:P28,"VP")&gt;0,"VP",IF(COUNTIF(P5:P28,"Director")&gt;0,"Director","Manager"))</f>
        <v>VP</v>
      </c>
    </row>
  </sheetData>
  <conditionalFormatting sqref="O5:O28">
    <cfRule type="cellIs" dxfId="0" priority="1" operator="lessThan">
      <formula>0.12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Region" error="Pick a region from the list" xr:uid="{00000000-0002-0000-0000-000000000000}">
          <x14:formula1>
            <xm:f>lists!$A$2:$A$5</xm:f>
          </x14:formula1>
          <xm:sqref>D5:D28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12" customWidth="1"/>
    <col min="4" max="4" width="15" customWidth="1"/>
    <col min="5" max="5" width="8" customWidth="1"/>
  </cols>
  <sheetData>
    <row r="1" spans="1:5" ht="16" x14ac:dyDescent="0.2">
      <c r="A1" s="3" t="s">
        <v>3</v>
      </c>
      <c r="B1" s="3" t="s">
        <v>4</v>
      </c>
      <c r="C1" s="3" t="s">
        <v>48</v>
      </c>
      <c r="D1" s="3" t="s">
        <v>49</v>
      </c>
      <c r="E1" s="3" t="s">
        <v>14</v>
      </c>
    </row>
    <row r="2" spans="1:5" x14ac:dyDescent="0.2">
      <c r="A2" t="s">
        <v>19</v>
      </c>
      <c r="B2" t="s">
        <v>50</v>
      </c>
      <c r="C2" t="s">
        <v>51</v>
      </c>
      <c r="D2" s="7">
        <v>197.78</v>
      </c>
      <c r="E2" t="s">
        <v>52</v>
      </c>
    </row>
    <row r="3" spans="1:5" x14ac:dyDescent="0.2">
      <c r="A3" t="s">
        <v>21</v>
      </c>
      <c r="B3" t="s">
        <v>53</v>
      </c>
      <c r="C3" t="s">
        <v>51</v>
      </c>
      <c r="D3" s="7">
        <v>310.8</v>
      </c>
      <c r="E3" t="s">
        <v>52</v>
      </c>
    </row>
    <row r="4" spans="1:5" x14ac:dyDescent="0.2">
      <c r="A4" t="s">
        <v>23</v>
      </c>
      <c r="B4" t="s">
        <v>54</v>
      </c>
      <c r="C4" t="s">
        <v>51</v>
      </c>
      <c r="D4" s="7">
        <v>369.8</v>
      </c>
      <c r="E4" t="s">
        <v>52</v>
      </c>
    </row>
    <row r="5" spans="1:5" x14ac:dyDescent="0.2">
      <c r="A5" t="s">
        <v>24</v>
      </c>
      <c r="B5" t="s">
        <v>55</v>
      </c>
      <c r="C5" t="s">
        <v>51</v>
      </c>
      <c r="D5" s="7">
        <v>1102.5</v>
      </c>
      <c r="E5" t="s">
        <v>52</v>
      </c>
    </row>
    <row r="6" spans="1:5" x14ac:dyDescent="0.2">
      <c r="A6" t="s">
        <v>26</v>
      </c>
      <c r="B6" t="s">
        <v>56</v>
      </c>
      <c r="C6" t="s">
        <v>51</v>
      </c>
      <c r="D6" s="7">
        <v>162.38</v>
      </c>
      <c r="E6" t="s">
        <v>52</v>
      </c>
    </row>
    <row r="7" spans="1:5" x14ac:dyDescent="0.2">
      <c r="A7" t="s">
        <v>28</v>
      </c>
      <c r="B7" t="s">
        <v>57</v>
      </c>
      <c r="C7" t="s">
        <v>51</v>
      </c>
      <c r="D7" s="7">
        <v>111.44</v>
      </c>
      <c r="E7" t="s">
        <v>52</v>
      </c>
    </row>
    <row r="8" spans="1:5" x14ac:dyDescent="0.2">
      <c r="A8" t="s">
        <v>29</v>
      </c>
      <c r="B8" t="s">
        <v>58</v>
      </c>
      <c r="C8" t="s">
        <v>59</v>
      </c>
      <c r="D8" s="7">
        <v>1037.49</v>
      </c>
      <c r="E8" t="s">
        <v>52</v>
      </c>
    </row>
    <row r="9" spans="1:5" x14ac:dyDescent="0.2">
      <c r="A9" t="s">
        <v>30</v>
      </c>
      <c r="B9" t="s">
        <v>60</v>
      </c>
      <c r="C9" t="s">
        <v>59</v>
      </c>
      <c r="D9" s="7">
        <v>1359.99</v>
      </c>
      <c r="E9" t="s">
        <v>52</v>
      </c>
    </row>
    <row r="10" spans="1:5" x14ac:dyDescent="0.2">
      <c r="A10" t="s">
        <v>31</v>
      </c>
      <c r="B10" t="s">
        <v>61</v>
      </c>
      <c r="C10" t="s">
        <v>59</v>
      </c>
      <c r="D10" s="7">
        <v>335.36</v>
      </c>
      <c r="E10" t="s">
        <v>52</v>
      </c>
    </row>
    <row r="11" spans="1:5" x14ac:dyDescent="0.2">
      <c r="A11" t="s">
        <v>32</v>
      </c>
      <c r="B11" t="s">
        <v>62</v>
      </c>
      <c r="C11" t="s">
        <v>59</v>
      </c>
      <c r="D11" s="7">
        <v>113.57</v>
      </c>
      <c r="E11" t="s">
        <v>52</v>
      </c>
    </row>
    <row r="12" spans="1:5" x14ac:dyDescent="0.2">
      <c r="A12" t="s">
        <v>33</v>
      </c>
      <c r="B12" t="s">
        <v>63</v>
      </c>
      <c r="C12" t="s">
        <v>64</v>
      </c>
      <c r="D12" s="7">
        <v>4650</v>
      </c>
      <c r="E12" t="s">
        <v>52</v>
      </c>
    </row>
    <row r="13" spans="1:5" x14ac:dyDescent="0.2">
      <c r="A13" t="s">
        <v>34</v>
      </c>
      <c r="B13" t="s">
        <v>65</v>
      </c>
      <c r="C13" t="s">
        <v>64</v>
      </c>
      <c r="D13" s="7">
        <v>8236</v>
      </c>
      <c r="E13" t="s">
        <v>52</v>
      </c>
    </row>
    <row r="14" spans="1:5" x14ac:dyDescent="0.2">
      <c r="A14" t="s">
        <v>35</v>
      </c>
      <c r="B14" t="s">
        <v>66</v>
      </c>
      <c r="C14" t="s">
        <v>64</v>
      </c>
      <c r="D14" s="7">
        <v>5390</v>
      </c>
      <c r="E14" t="s">
        <v>67</v>
      </c>
    </row>
    <row r="15" spans="1:5" x14ac:dyDescent="0.2">
      <c r="A15" t="s">
        <v>36</v>
      </c>
      <c r="B15" t="s">
        <v>68</v>
      </c>
      <c r="C15" t="s">
        <v>64</v>
      </c>
      <c r="D15" s="7">
        <v>1410</v>
      </c>
      <c r="E15" t="s">
        <v>52</v>
      </c>
    </row>
    <row r="16" spans="1:5" x14ac:dyDescent="0.2">
      <c r="A16" t="s">
        <v>37</v>
      </c>
      <c r="B16" t="s">
        <v>69</v>
      </c>
      <c r="C16" t="s">
        <v>70</v>
      </c>
      <c r="D16" s="7">
        <v>168</v>
      </c>
      <c r="E16" t="s">
        <v>52</v>
      </c>
    </row>
    <row r="17" spans="1:5" x14ac:dyDescent="0.2">
      <c r="A17" t="s">
        <v>38</v>
      </c>
      <c r="B17" t="s">
        <v>71</v>
      </c>
      <c r="C17" t="s">
        <v>70</v>
      </c>
      <c r="D17" s="7">
        <v>1060</v>
      </c>
      <c r="E17" t="s">
        <v>52</v>
      </c>
    </row>
    <row r="18" spans="1:5" x14ac:dyDescent="0.2">
      <c r="A18" t="s">
        <v>39</v>
      </c>
      <c r="B18" t="s">
        <v>72</v>
      </c>
      <c r="C18" t="s">
        <v>73</v>
      </c>
      <c r="D18" s="7">
        <v>1199.7</v>
      </c>
      <c r="E18" t="s">
        <v>52</v>
      </c>
    </row>
    <row r="19" spans="1:5" x14ac:dyDescent="0.2">
      <c r="A19" t="s">
        <v>40</v>
      </c>
      <c r="B19" t="s">
        <v>74</v>
      </c>
      <c r="C19" t="s">
        <v>73</v>
      </c>
      <c r="D19" s="7">
        <v>363.72</v>
      </c>
      <c r="E19" t="s">
        <v>52</v>
      </c>
    </row>
    <row r="20" spans="1:5" x14ac:dyDescent="0.2">
      <c r="A20" s="17">
        <v>46082</v>
      </c>
      <c r="B20" t="s">
        <v>75</v>
      </c>
      <c r="C20" t="s">
        <v>51</v>
      </c>
      <c r="D20" s="7">
        <v>74.75</v>
      </c>
      <c r="E20" t="s">
        <v>52</v>
      </c>
    </row>
    <row r="21" spans="1:5" x14ac:dyDescent="0.2">
      <c r="A21">
        <v>100000</v>
      </c>
      <c r="B21" t="s">
        <v>76</v>
      </c>
      <c r="C21" t="s">
        <v>51</v>
      </c>
      <c r="D21" s="7">
        <v>136.5</v>
      </c>
      <c r="E2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7" customWidth="1"/>
    <col min="3" max="3" width="15" customWidth="1"/>
  </cols>
  <sheetData>
    <row r="1" spans="1:3" ht="16" x14ac:dyDescent="0.2">
      <c r="A1" s="3" t="s">
        <v>3</v>
      </c>
      <c r="B1" s="3" t="s">
        <v>8</v>
      </c>
      <c r="C1" s="3" t="s">
        <v>77</v>
      </c>
    </row>
    <row r="2" spans="1:3" x14ac:dyDescent="0.2">
      <c r="A2" t="s">
        <v>19</v>
      </c>
      <c r="B2" s="7">
        <v>899</v>
      </c>
      <c r="C2" s="18">
        <v>46113</v>
      </c>
    </row>
    <row r="3" spans="1:3" x14ac:dyDescent="0.2">
      <c r="A3" t="s">
        <v>21</v>
      </c>
      <c r="B3" s="7">
        <v>1150</v>
      </c>
      <c r="C3" s="18">
        <v>45748</v>
      </c>
    </row>
    <row r="4" spans="1:3" x14ac:dyDescent="0.2">
      <c r="A4" t="s">
        <v>23</v>
      </c>
      <c r="B4" s="7">
        <v>1849</v>
      </c>
      <c r="C4" s="18">
        <v>46113</v>
      </c>
    </row>
    <row r="5" spans="1:3" x14ac:dyDescent="0.2">
      <c r="A5" t="s">
        <v>24</v>
      </c>
      <c r="B5" s="7">
        <v>4800</v>
      </c>
      <c r="C5" s="18">
        <v>45748</v>
      </c>
    </row>
    <row r="6" spans="1:3" x14ac:dyDescent="0.2">
      <c r="A6" t="s">
        <v>26</v>
      </c>
      <c r="B6" s="7">
        <v>649.5</v>
      </c>
      <c r="C6" s="18">
        <v>46113</v>
      </c>
    </row>
    <row r="7" spans="1:3" x14ac:dyDescent="0.2">
      <c r="A7" t="s">
        <v>28</v>
      </c>
      <c r="B7" s="7">
        <v>412.75</v>
      </c>
      <c r="C7" s="18">
        <v>46113</v>
      </c>
    </row>
    <row r="8" spans="1:3" x14ac:dyDescent="0.2">
      <c r="A8" t="s">
        <v>29</v>
      </c>
      <c r="B8" s="7">
        <v>1249.99</v>
      </c>
      <c r="C8" s="18">
        <v>46113</v>
      </c>
    </row>
    <row r="9" spans="1:3" x14ac:dyDescent="0.2">
      <c r="A9" t="s">
        <v>30</v>
      </c>
      <c r="B9" s="7">
        <v>1699.99</v>
      </c>
      <c r="C9" s="18">
        <v>46113</v>
      </c>
    </row>
    <row r="10" spans="1:3" x14ac:dyDescent="0.2">
      <c r="A10" t="s">
        <v>31</v>
      </c>
      <c r="B10" s="7">
        <v>389.95</v>
      </c>
      <c r="C10" s="18">
        <v>46113</v>
      </c>
    </row>
    <row r="11" spans="1:3" x14ac:dyDescent="0.2">
      <c r="A11" t="s">
        <v>32</v>
      </c>
      <c r="B11" s="7">
        <v>145.6</v>
      </c>
      <c r="C11" s="18">
        <v>46113</v>
      </c>
    </row>
    <row r="12" spans="1:3" x14ac:dyDescent="0.2">
      <c r="A12" t="s">
        <v>33</v>
      </c>
      <c r="B12" s="7">
        <v>7500</v>
      </c>
      <c r="C12" s="18">
        <v>46113</v>
      </c>
    </row>
    <row r="13" spans="1:3" x14ac:dyDescent="0.2">
      <c r="A13" t="s">
        <v>34</v>
      </c>
      <c r="B13" s="7">
        <v>14200</v>
      </c>
      <c r="C13" s="18">
        <v>46113</v>
      </c>
    </row>
    <row r="14" spans="1:3" x14ac:dyDescent="0.2">
      <c r="A14" t="s">
        <v>35</v>
      </c>
      <c r="B14" s="7">
        <v>9800</v>
      </c>
      <c r="C14" s="18">
        <v>46113</v>
      </c>
    </row>
    <row r="15" spans="1:3" x14ac:dyDescent="0.2">
      <c r="A15" t="s">
        <v>36</v>
      </c>
      <c r="B15" s="7">
        <v>2350</v>
      </c>
      <c r="C15" s="18">
        <v>46113</v>
      </c>
    </row>
    <row r="16" spans="1:3" x14ac:dyDescent="0.2">
      <c r="A16" t="s">
        <v>37</v>
      </c>
      <c r="B16" s="7">
        <v>480</v>
      </c>
      <c r="C16" s="18">
        <v>46113</v>
      </c>
    </row>
    <row r="17" spans="1:3" x14ac:dyDescent="0.2">
      <c r="A17" t="s">
        <v>38</v>
      </c>
      <c r="B17" s="7">
        <v>2650</v>
      </c>
      <c r="C17" s="18">
        <v>46113</v>
      </c>
    </row>
    <row r="18" spans="1:3" x14ac:dyDescent="0.2">
      <c r="A18" t="s">
        <v>39</v>
      </c>
      <c r="B18" s="7">
        <v>3999</v>
      </c>
      <c r="C18" s="18">
        <v>46113</v>
      </c>
    </row>
    <row r="19" spans="1:3" x14ac:dyDescent="0.2">
      <c r="A19" t="s">
        <v>40</v>
      </c>
      <c r="B19" s="7">
        <v>1299</v>
      </c>
      <c r="C19" s="18">
        <v>46113</v>
      </c>
    </row>
    <row r="20" spans="1:3" x14ac:dyDescent="0.2">
      <c r="A20" s="17">
        <v>46082</v>
      </c>
      <c r="B20" s="7">
        <v>299</v>
      </c>
      <c r="C20" s="18">
        <v>46113</v>
      </c>
    </row>
    <row r="21" spans="1:3" x14ac:dyDescent="0.2">
      <c r="A21">
        <v>100000</v>
      </c>
      <c r="B21" s="7">
        <v>525</v>
      </c>
      <c r="C21" s="18">
        <v>46113</v>
      </c>
    </row>
    <row r="22" spans="1:3" x14ac:dyDescent="0.2">
      <c r="A22" t="s">
        <v>24</v>
      </c>
      <c r="B22" s="7">
        <v>5250</v>
      </c>
      <c r="C22" s="18">
        <v>46204</v>
      </c>
    </row>
    <row r="23" spans="1:3" x14ac:dyDescent="0.2">
      <c r="A23" t="s">
        <v>21</v>
      </c>
      <c r="B23" s="7">
        <v>1295</v>
      </c>
      <c r="C23" s="18">
        <v>46204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baseColWidth="10" defaultColWidth="8.83203125" defaultRowHeight="15" x14ac:dyDescent="0.2"/>
  <cols>
    <col min="1" max="1" width="11" customWidth="1"/>
    <col min="2" max="2" width="20" customWidth="1"/>
  </cols>
  <sheetData>
    <row r="1" spans="1:2" ht="19" x14ac:dyDescent="0.25">
      <c r="A1" s="1" t="s">
        <v>78</v>
      </c>
    </row>
    <row r="3" spans="1:2" ht="16" x14ac:dyDescent="0.2">
      <c r="A3" s="3" t="s">
        <v>3</v>
      </c>
      <c r="B3" s="3" t="s">
        <v>79</v>
      </c>
    </row>
    <row r="4" spans="1:2" x14ac:dyDescent="0.2">
      <c r="A4" t="str">
        <f>ListPrice_USD!A2</f>
        <v>PRO-100</v>
      </c>
      <c r="B4" s="9">
        <f>ListPrice_USD!B2*83.2/100000</f>
        <v>0.74796800000000008</v>
      </c>
    </row>
    <row r="5" spans="1:2" x14ac:dyDescent="0.2">
      <c r="A5" t="str">
        <f>ListPrice_USD!A3</f>
        <v>PRO-140</v>
      </c>
      <c r="B5" s="9">
        <f>ListPrice_USD!B3*83.2/100000</f>
        <v>0.95679999999999998</v>
      </c>
    </row>
    <row r="6" spans="1:2" x14ac:dyDescent="0.2">
      <c r="A6" t="str">
        <f>ListPrice_USD!A4</f>
        <v>ENT-200</v>
      </c>
      <c r="B6" s="9">
        <f>ListPrice_USD!B4*83.2/100000</f>
        <v>1.5383680000000002</v>
      </c>
    </row>
    <row r="7" spans="1:2" x14ac:dyDescent="0.2">
      <c r="A7" t="str">
        <f>ListPrice_USD!A5</f>
        <v>ENT-220</v>
      </c>
      <c r="B7" s="9">
        <f>ListPrice_USD!B5*83.2/100000</f>
        <v>3.9935999999999998</v>
      </c>
    </row>
    <row r="8" spans="1:2" x14ac:dyDescent="0.2">
      <c r="A8" t="str">
        <f>ListPrice_USD!A6</f>
        <v>ANL-300</v>
      </c>
      <c r="B8" s="9">
        <f>ListPrice_USD!B6*83.2/100000</f>
        <v>0.54038399999999998</v>
      </c>
    </row>
    <row r="9" spans="1:2" x14ac:dyDescent="0.2">
      <c r="A9" t="str">
        <f>ListPrice_USD!A7</f>
        <v>SEC-310</v>
      </c>
      <c r="B9" s="9">
        <f>ListPrice_USD!B7*83.2/100000</f>
        <v>0.34340800000000005</v>
      </c>
    </row>
    <row r="10" spans="1:2" x14ac:dyDescent="0.2">
      <c r="A10" t="str">
        <f>ListPrice_USD!A8</f>
        <v>HW-500</v>
      </c>
      <c r="B10" s="9">
        <f>ListPrice_USD!B8*83.2/100000</f>
        <v>1.03999168</v>
      </c>
    </row>
    <row r="11" spans="1:2" x14ac:dyDescent="0.2">
      <c r="A11" t="str">
        <f>ListPrice_USD!A9</f>
        <v>HW-510</v>
      </c>
      <c r="B11" s="9">
        <f>ListPrice_USD!B9*83.2/100000</f>
        <v>1.41439168</v>
      </c>
    </row>
    <row r="12" spans="1:2" x14ac:dyDescent="0.2">
      <c r="A12" t="str">
        <f>ListPrice_USD!A10</f>
        <v>HW-520</v>
      </c>
      <c r="B12" s="9">
        <f>ListPrice_USD!B10*83.2/100000</f>
        <v>0.32443840000000002</v>
      </c>
    </row>
    <row r="13" spans="1:2" x14ac:dyDescent="0.2">
      <c r="A13" t="str">
        <f>ListPrice_USD!A11</f>
        <v>HW-530</v>
      </c>
      <c r="B13" s="9">
        <f>ListPrice_USD!B11*83.2/100000</f>
        <v>0.1211392</v>
      </c>
    </row>
    <row r="14" spans="1:2" x14ac:dyDescent="0.2">
      <c r="A14" t="str">
        <f>ListPrice_USD!A12</f>
        <v>SRV-010</v>
      </c>
      <c r="B14" s="9">
        <f>ListPrice_USD!B12*83.2/100000</f>
        <v>6.24</v>
      </c>
    </row>
    <row r="15" spans="1:2" x14ac:dyDescent="0.2">
      <c r="A15" t="str">
        <f>ListPrice_USD!A13</f>
        <v>SRV-020</v>
      </c>
      <c r="B15" s="9">
        <f>ListPrice_USD!B13*83.2/100000</f>
        <v>11.814399999999999</v>
      </c>
    </row>
    <row r="16" spans="1:2" x14ac:dyDescent="0.2">
      <c r="A16" t="str">
        <f>ListPrice_USD!A14</f>
        <v>SRV-030</v>
      </c>
      <c r="B16" s="9">
        <f>ListPrice_USD!B14*83.2/100000</f>
        <v>8.1536000000000008</v>
      </c>
    </row>
    <row r="17" spans="1:2" x14ac:dyDescent="0.2">
      <c r="A17" t="str">
        <f>ListPrice_USD!A15</f>
        <v>SRV-040</v>
      </c>
      <c r="B17" s="9">
        <f>ListPrice_USD!B15*83.2/100000</f>
        <v>1.9552</v>
      </c>
    </row>
    <row r="18" spans="1:2" x14ac:dyDescent="0.2">
      <c r="A18" t="str">
        <f>ListPrice_USD!A16</f>
        <v>TRN-010</v>
      </c>
      <c r="B18" s="9">
        <f>ListPrice_USD!B16*83.2/100000</f>
        <v>0.39935999999999999</v>
      </c>
    </row>
    <row r="19" spans="1:2" x14ac:dyDescent="0.2">
      <c r="A19" t="str">
        <f>ListPrice_USD!A17</f>
        <v>TRN-020</v>
      </c>
      <c r="B19" s="9">
        <f>ListPrice_USD!B17*83.2/100000</f>
        <v>2.2048000000000001</v>
      </c>
    </row>
    <row r="20" spans="1:2" x14ac:dyDescent="0.2">
      <c r="A20" t="str">
        <f>ListPrice_USD!A18</f>
        <v>SUP-100</v>
      </c>
      <c r="B20" s="9">
        <f>ListPrice_USD!B18*83.2/100000</f>
        <v>3.3271679999999999</v>
      </c>
    </row>
    <row r="21" spans="1:2" x14ac:dyDescent="0.2">
      <c r="A21" t="str">
        <f>ListPrice_USD!A19</f>
        <v>SUP-110</v>
      </c>
      <c r="B21" s="9">
        <f>ListPrice_USD!B19*83.2/100000</f>
        <v>1.080768</v>
      </c>
    </row>
    <row r="22" spans="1:2" x14ac:dyDescent="0.2">
      <c r="A22">
        <f>ListPrice_USD!A20</f>
        <v>46082</v>
      </c>
      <c r="B22" s="9">
        <f>ListPrice_USD!B20*83.2/100000</f>
        <v>0.24876799999999999</v>
      </c>
    </row>
    <row r="23" spans="1:2" x14ac:dyDescent="0.2">
      <c r="A23">
        <f>ListPrice_USD!A21</f>
        <v>100000</v>
      </c>
      <c r="B23" s="9">
        <f>ListPrice_USD!B21*83.2/100000</f>
        <v>0.43680000000000002</v>
      </c>
    </row>
    <row r="24" spans="1:2" x14ac:dyDescent="0.2">
      <c r="A24" t="str">
        <f>ListPrice_USD!A22</f>
        <v>ENT-220</v>
      </c>
      <c r="B24" s="9">
        <f>ListPrice_USD!B22*83.2/100000</f>
        <v>4.3680000000000003</v>
      </c>
    </row>
    <row r="25" spans="1:2" x14ac:dyDescent="0.2">
      <c r="A25" t="str">
        <f>ListPrice_USD!A23</f>
        <v>PRO-140</v>
      </c>
      <c r="B25" s="9">
        <f>ListPrice_USD!B23*83.2/100000</f>
        <v>1.07744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baseColWidth="10" defaultColWidth="8.83203125" defaultRowHeight="15" x14ac:dyDescent="0.2"/>
  <cols>
    <col min="1" max="1" width="26" customWidth="1"/>
    <col min="2" max="2" width="16" customWidth="1"/>
  </cols>
  <sheetData>
    <row r="1" spans="1:2" ht="19" x14ac:dyDescent="0.25">
      <c r="A1" s="1" t="s">
        <v>80</v>
      </c>
    </row>
    <row r="3" spans="1:2" x14ac:dyDescent="0.2">
      <c r="A3" s="13" t="s">
        <v>81</v>
      </c>
    </row>
    <row r="4" spans="1:2" ht="16" x14ac:dyDescent="0.2">
      <c r="A4" s="3" t="s">
        <v>82</v>
      </c>
      <c r="B4" s="3" t="s">
        <v>83</v>
      </c>
    </row>
    <row r="5" spans="1:2" x14ac:dyDescent="0.2">
      <c r="A5">
        <v>1</v>
      </c>
      <c r="B5" s="8">
        <v>0</v>
      </c>
    </row>
    <row r="6" spans="1:2" x14ac:dyDescent="0.2">
      <c r="A6">
        <v>10</v>
      </c>
      <c r="B6" s="8">
        <v>0.05</v>
      </c>
    </row>
    <row r="7" spans="1:2" x14ac:dyDescent="0.2">
      <c r="A7">
        <v>50</v>
      </c>
      <c r="B7" s="8">
        <v>0.1</v>
      </c>
    </row>
    <row r="8" spans="1:2" x14ac:dyDescent="0.2">
      <c r="A8">
        <v>25</v>
      </c>
      <c r="B8" s="8">
        <v>7.4999999999999997E-2</v>
      </c>
    </row>
    <row r="9" spans="1:2" x14ac:dyDescent="0.2">
      <c r="A9">
        <v>100</v>
      </c>
      <c r="B9" s="8">
        <v>0.125</v>
      </c>
    </row>
    <row r="10" spans="1:2" x14ac:dyDescent="0.2">
      <c r="A10">
        <v>250</v>
      </c>
      <c r="B10" s="8">
        <v>0.15</v>
      </c>
    </row>
    <row r="12" spans="1:2" x14ac:dyDescent="0.2">
      <c r="A12" t="s">
        <v>84</v>
      </c>
      <c r="B12" s="6">
        <v>0.05</v>
      </c>
    </row>
    <row r="13" spans="1:2" x14ac:dyDescent="0.2">
      <c r="A13" t="s">
        <v>85</v>
      </c>
      <c r="B13" s="19">
        <v>46387</v>
      </c>
    </row>
    <row r="15" spans="1:2" x14ac:dyDescent="0.2">
      <c r="A15" s="2" t="s">
        <v>86</v>
      </c>
    </row>
    <row r="16" spans="1:2" x14ac:dyDescent="0.2">
      <c r="A16" s="2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88</v>
      </c>
      <c r="B1" t="s">
        <v>89</v>
      </c>
    </row>
    <row r="2" spans="1:2" x14ac:dyDescent="0.2">
      <c r="A2" t="s">
        <v>90</v>
      </c>
      <c r="B2" t="s">
        <v>51</v>
      </c>
    </row>
    <row r="3" spans="1:2" x14ac:dyDescent="0.2">
      <c r="A3" t="s">
        <v>91</v>
      </c>
      <c r="B3" t="s">
        <v>59</v>
      </c>
    </row>
    <row r="4" spans="1:2" x14ac:dyDescent="0.2">
      <c r="A4" t="s">
        <v>92</v>
      </c>
      <c r="B4" t="s">
        <v>64</v>
      </c>
    </row>
    <row r="5" spans="1:2" x14ac:dyDescent="0.2">
      <c r="A5" t="s">
        <v>93</v>
      </c>
      <c r="B5" t="s">
        <v>70</v>
      </c>
    </row>
    <row r="6" spans="1:2" x14ac:dyDescent="0.2">
      <c r="B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Approvals</vt:lpstr>
      <vt:lpstr>SKUs</vt:lpstr>
      <vt:lpstr>ListPrice_USD</vt:lpstr>
      <vt:lpstr>ListPrice_INR_lakh</vt:lpstr>
      <vt:lpstr>Discounts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&amp; Discount Approval Matrix v12</dc:title>
  <dc:creator>Ankit Verma</dc:creator>
  <cp:lastModifiedBy>Akshat Kharbanda</cp:lastModifiedBy>
  <dcterms:created xsi:type="dcterms:W3CDTF">2026-09-14T09:30:00Z</dcterms:created>
  <dcterms:modified xsi:type="dcterms:W3CDTF">2026-10-27T16:21:52Z</dcterms:modified>
</cp:coreProperties>
</file>