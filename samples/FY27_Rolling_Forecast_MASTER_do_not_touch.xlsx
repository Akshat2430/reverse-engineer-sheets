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divyaanshkharbanda/Desktop/claude-playground/reverse-engineer-sheets/samples/"/>
    </mc:Choice>
  </mc:AlternateContent>
  <xr:revisionPtr revIDLastSave="0" documentId="8_{E3601E05-518E-5640-96D5-C5051F2E38ED}" xr6:coauthVersionLast="47" xr6:coauthVersionMax="47" xr10:uidLastSave="{00000000-0000-0000-0000-000000000000}"/>
  <bookViews>
    <workbookView xWindow="0" yWindow="600" windowWidth="44800" windowHeight="22820" xr2:uid="{00000000-000D-0000-FFFF-FFFF00000000}"/>
  </bookViews>
  <sheets>
    <sheet name="Summary" sheetId="1" r:id="rId1"/>
    <sheet name="Forecast" sheetId="2" r:id="rId2"/>
    <sheet name="Cash" sheetId="3" r:id="rId3"/>
    <sheet name="Assumptions" sheetId="4" r:id="rId4"/>
    <sheet name="Jan" sheetId="5" r:id="rId5"/>
    <sheet name="Feb" sheetId="6" state="hidden" r:id="rId6"/>
    <sheet name="Mar" sheetId="7" state="hidden" r:id="rId7"/>
    <sheet name="Apr" sheetId="8" state="hidden" r:id="rId8"/>
    <sheet name="May" sheetId="9" state="hidden" r:id="rId9"/>
    <sheet name="Jun" sheetId="10" state="hidden" r:id="rId10"/>
    <sheet name="Jul" sheetId="11" state="hidden" r:id="rId11"/>
    <sheet name="Aug" sheetId="12" state="hidden" r:id="rId12"/>
    <sheet name="Sep" sheetId="13" state="hidden" r:id="rId13"/>
    <sheet name="Oct" sheetId="14" state="hidden" r:id="rId14"/>
    <sheet name="Nov" sheetId="15" state="hidden" r:id="rId15"/>
    <sheet name="Dec" sheetId="16" r:id="rId16"/>
  </sheets>
  <externalReferences>
    <externalReference r:id="rId17"/>
  </externalReferences>
  <definedNames>
    <definedName name="Growth_Rate">Assumptions!$C$5</definedName>
    <definedName name="GrowthRate">Assumptions!#REF!</definedName>
    <definedName name="OpeningCash">Assumptions!$C$8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6" l="1"/>
  <c r="C50" i="16"/>
  <c r="D50" i="15"/>
  <c r="C50" i="15"/>
  <c r="D50" i="14"/>
  <c r="C50" i="14"/>
  <c r="B14" i="2" s="1"/>
  <c r="C14" i="2" s="1"/>
  <c r="D50" i="13"/>
  <c r="C50" i="13"/>
  <c r="D50" i="12"/>
  <c r="C50" i="12"/>
  <c r="B12" i="2" s="1"/>
  <c r="C12" i="2" s="1"/>
  <c r="D50" i="11"/>
  <c r="C50" i="11"/>
  <c r="D50" i="10"/>
  <c r="C50" i="10"/>
  <c r="B10" i="2" s="1"/>
  <c r="C10" i="2" s="1"/>
  <c r="D50" i="9"/>
  <c r="C50" i="9"/>
  <c r="D50" i="8"/>
  <c r="C50" i="8"/>
  <c r="B8" i="2" s="1"/>
  <c r="C8" i="2" s="1"/>
  <c r="D50" i="7"/>
  <c r="C50" i="7"/>
  <c r="D50" i="6"/>
  <c r="C50" i="6"/>
  <c r="B6" i="2" s="1"/>
  <c r="C6" i="2" s="1"/>
  <c r="D50" i="5"/>
  <c r="C50" i="5"/>
  <c r="C27" i="4"/>
  <c r="C26" i="4"/>
  <c r="C25" i="4"/>
  <c r="C23" i="4"/>
  <c r="C28" i="4" s="1"/>
  <c r="C22" i="4"/>
  <c r="C21" i="4"/>
  <c r="C20" i="4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B4" i="3"/>
  <c r="A4" i="3"/>
  <c r="I16" i="2"/>
  <c r="H16" i="2"/>
  <c r="D16" i="2"/>
  <c r="E16" i="2" s="1"/>
  <c r="C16" i="2"/>
  <c r="B16" i="2"/>
  <c r="H15" i="2"/>
  <c r="D15" i="2"/>
  <c r="E15" i="2" s="1"/>
  <c r="B15" i="2"/>
  <c r="H14" i="2"/>
  <c r="D14" i="2"/>
  <c r="H13" i="2"/>
  <c r="D13" i="2"/>
  <c r="C13" i="2"/>
  <c r="E13" i="2" s="1"/>
  <c r="B13" i="2"/>
  <c r="H12" i="2"/>
  <c r="D12" i="2"/>
  <c r="H11" i="2"/>
  <c r="D11" i="2"/>
  <c r="C11" i="2"/>
  <c r="E11" i="2" s="1"/>
  <c r="B11" i="2"/>
  <c r="H10" i="2"/>
  <c r="D10" i="2"/>
  <c r="H9" i="2"/>
  <c r="D9" i="2"/>
  <c r="C9" i="2"/>
  <c r="E9" i="2" s="1"/>
  <c r="B9" i="2"/>
  <c r="H8" i="2"/>
  <c r="D8" i="2"/>
  <c r="H7" i="2"/>
  <c r="D7" i="2"/>
  <c r="C7" i="2"/>
  <c r="E7" i="2" s="1"/>
  <c r="B7" i="2"/>
  <c r="H6" i="2"/>
  <c r="D6" i="2"/>
  <c r="H5" i="2"/>
  <c r="H17" i="2" s="1"/>
  <c r="D5" i="2"/>
  <c r="B5" i="2"/>
  <c r="C5" i="2" s="1"/>
  <c r="E2" i="2"/>
  <c r="B10" i="1" l="1"/>
  <c r="E10" i="2"/>
  <c r="I10" i="2"/>
  <c r="E14" i="2"/>
  <c r="I15" i="2"/>
  <c r="I14" i="2"/>
  <c r="C30" i="4"/>
  <c r="E12" i="2"/>
  <c r="I12" i="2"/>
  <c r="E6" i="2"/>
  <c r="I6" i="2"/>
  <c r="E5" i="2"/>
  <c r="C17" i="2"/>
  <c r="B5" i="1" s="1"/>
  <c r="E8" i="2"/>
  <c r="I8" i="2"/>
  <c r="I7" i="2"/>
  <c r="I9" i="2"/>
  <c r="I11" i="2"/>
  <c r="I13" i="2"/>
  <c r="B17" i="2"/>
  <c r="D17" i="2"/>
  <c r="E17" i="2" l="1"/>
  <c r="B9" i="1"/>
  <c r="G12" i="2"/>
  <c r="C11" i="3" s="1"/>
  <c r="G14" i="2"/>
  <c r="C13" i="3" s="1"/>
  <c r="G6" i="2"/>
  <c r="C5" i="3" s="1"/>
  <c r="F14" i="2"/>
  <c r="F13" i="2"/>
  <c r="G13" i="2" s="1"/>
  <c r="C12" i="3" s="1"/>
  <c r="F12" i="2"/>
  <c r="F11" i="2"/>
  <c r="G11" i="2" s="1"/>
  <c r="C10" i="3" s="1"/>
  <c r="F10" i="2"/>
  <c r="G10" i="2" s="1"/>
  <c r="C9" i="3" s="1"/>
  <c r="F9" i="2"/>
  <c r="G9" i="2" s="1"/>
  <c r="C8" i="3" s="1"/>
  <c r="F8" i="2"/>
  <c r="G8" i="2" s="1"/>
  <c r="C7" i="3" s="1"/>
  <c r="F7" i="2"/>
  <c r="G7" i="2" s="1"/>
  <c r="C6" i="3" s="1"/>
  <c r="F6" i="2"/>
  <c r="F5" i="2"/>
  <c r="F16" i="2"/>
  <c r="G16" i="2" s="1"/>
  <c r="C15" i="3" s="1"/>
  <c r="F15" i="2"/>
  <c r="G15" i="2" s="1"/>
  <c r="C14" i="3" s="1"/>
  <c r="F17" i="2" l="1"/>
  <c r="G5" i="2"/>
  <c r="G17" i="2" l="1"/>
  <c r="B6" i="1" s="1"/>
  <c r="B7" i="1" s="1"/>
  <c r="C4" i="3"/>
  <c r="E4" i="3"/>
  <c r="F4" i="3"/>
  <c r="B5" i="3"/>
  <c r="E5" i="3"/>
  <c r="F5" i="3"/>
  <c r="B6" i="3"/>
  <c r="E6" i="3"/>
  <c r="F6" i="3"/>
  <c r="B7" i="3"/>
  <c r="E7" i="3"/>
  <c r="F7" i="3"/>
  <c r="B8" i="3"/>
  <c r="E8" i="3"/>
  <c r="F8" i="3"/>
  <c r="B9" i="3"/>
  <c r="E9" i="3"/>
  <c r="F9" i="3"/>
  <c r="B10" i="3"/>
  <c r="E10" i="3"/>
  <c r="F10" i="3"/>
  <c r="B11" i="3"/>
  <c r="E11" i="3"/>
  <c r="F11" i="3"/>
  <c r="B12" i="3"/>
  <c r="E12" i="3"/>
  <c r="F12" i="3"/>
  <c r="B13" i="3"/>
  <c r="E13" i="3"/>
  <c r="F13" i="3"/>
  <c r="B14" i="3"/>
  <c r="E14" i="3"/>
  <c r="F14" i="3"/>
  <c r="B15" i="3"/>
  <c r="E15" i="3"/>
  <c r="F15" i="3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Karan Malhotra</author>
  </authors>
  <commentList>
    <comment ref="A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Volatility = average month-on-month % change, measured against the average of the two months.</t>
        </r>
      </text>
    </comment>
  </commentList>
</comments>
</file>

<file path=xl/sharedStrings.xml><?xml version="1.0" encoding="utf-8"?>
<sst xmlns="http://schemas.openxmlformats.org/spreadsheetml/2006/main" count="1247" uniqueCount="140">
  <si>
    <t>FY27 Rolling Forecast - Summary</t>
  </si>
  <si>
    <t>MASTER - do not edit. Links to Budget file. Last reviewed by FP&amp;A.</t>
  </si>
  <si>
    <t>Metric</t>
  </si>
  <si>
    <t>FY27</t>
  </si>
  <si>
    <t>FY revenue (forecast)</t>
  </si>
  <si>
    <t>FY EBITDA</t>
  </si>
  <si>
    <t>EBITDA margin</t>
  </si>
  <si>
    <t>Closing cash (Dec-27)</t>
  </si>
  <si>
    <t>Revenue volatility (avg MoM % change)</t>
  </si>
  <si>
    <t>Spotlight product revenue (selected month)</t>
  </si>
  <si>
    <t>FY27 Rolling Forecast</t>
  </si>
  <si>
    <t>Spotlight month</t>
  </si>
  <si>
    <t>Mar</t>
  </si>
  <si>
    <t>Spotlight: Nimbus Edge revenue</t>
  </si>
  <si>
    <t>Month</t>
  </si>
  <si>
    <t>Plan Revenue</t>
  </si>
  <si>
    <t>Forecast Revenue</t>
  </si>
  <si>
    <t>COGS</t>
  </si>
  <si>
    <t>Gross Margin</t>
  </si>
  <si>
    <t>Opex</t>
  </si>
  <si>
    <t>EBITDA</t>
  </si>
  <si>
    <t>One-offs</t>
  </si>
  <si>
    <t>MoM change (vs avg of two months)</t>
  </si>
  <si>
    <t>Cash bridge FY27</t>
  </si>
  <si>
    <t>Interest earned on average monthly balance. Iterative calculation must be ON.</t>
  </si>
  <si>
    <t>Opening Cash</t>
  </si>
  <si>
    <t>Capex</t>
  </si>
  <si>
    <t>Interest</t>
  </si>
  <si>
    <t>Closing Cash</t>
  </si>
  <si>
    <t>Assumptions - FY27</t>
  </si>
  <si>
    <t>Yellow cells are inputs. Owner: FP&amp;A.</t>
  </si>
  <si>
    <t>Driver</t>
  </si>
  <si>
    <t>Value</t>
  </si>
  <si>
    <t>Notes</t>
  </si>
  <si>
    <t>Forecast uplift vs plan (monthly)</t>
  </si>
  <si>
    <t>Board-approved uplift</t>
  </si>
  <si>
    <t>FX USD/INR (planning rate)</t>
  </si>
  <si>
    <t>Opening cash (1-Jan-27)</t>
  </si>
  <si>
    <t>Per Dec-26 bank recon</t>
  </si>
  <si>
    <t>Annual capex</t>
  </si>
  <si>
    <t>Spread evenly</t>
  </si>
  <si>
    <t>Interest on cash balance (annual)</t>
  </si>
  <si>
    <t>On average monthly balance</t>
  </si>
  <si>
    <t>Monthly opex inputs (USD)</t>
  </si>
  <si>
    <t>Salaries</t>
  </si>
  <si>
    <t>Marketing - events</t>
  </si>
  <si>
    <t>Marketing - digital</t>
  </si>
  <si>
    <t>Marketing - agencies</t>
  </si>
  <si>
    <t>Rent</t>
  </si>
  <si>
    <t>IT &amp; cloud</t>
  </si>
  <si>
    <t>Regional opex budget FY27 (annual)</t>
  </si>
  <si>
    <t>Source</t>
  </si>
  <si>
    <t>North America</t>
  </si>
  <si>
    <t>Budget file (Finance)</t>
  </si>
  <si>
    <t>EMEA</t>
  </si>
  <si>
    <t>APAC</t>
  </si>
  <si>
    <t>India</t>
  </si>
  <si>
    <t>Opex subtotals (monthly)</t>
  </si>
  <si>
    <t>Rent &amp; IT</t>
  </si>
  <si>
    <t>Marketing</t>
  </si>
  <si>
    <t>Regional opex</t>
  </si>
  <si>
    <t>Total monthly opex</t>
  </si>
  <si>
    <t>One-off items</t>
  </si>
  <si>
    <t>Date</t>
  </si>
  <si>
    <t>Amount (USD)</t>
  </si>
  <si>
    <t>Q1 trade-show rebate (Mar)</t>
  </si>
  <si>
    <t>03/04/2027</t>
  </si>
  <si>
    <t>Insurance recovery</t>
  </si>
  <si>
    <t>2027-06-15</t>
  </si>
  <si>
    <t>Lease exit fee - Bengaluru (Sep)</t>
  </si>
  <si>
    <t>11/09/2027</t>
  </si>
  <si>
    <t>Grant income</t>
  </si>
  <si>
    <t>2027-10-01</t>
  </si>
  <si>
    <t>Jan 2027 - product revenue plan</t>
  </si>
  <si>
    <t>Units: USD</t>
  </si>
  <si>
    <t>Product line</t>
  </si>
  <si>
    <t>Category</t>
  </si>
  <si>
    <t>Revenue</t>
  </si>
  <si>
    <t>Atlas Core</t>
  </si>
  <si>
    <t>Subscriptions</t>
  </si>
  <si>
    <t>Atlas Pro</t>
  </si>
  <si>
    <t>Atlas Edge</t>
  </si>
  <si>
    <t>Hardware</t>
  </si>
  <si>
    <t>Atlas Implementation</t>
  </si>
  <si>
    <t>Services</t>
  </si>
  <si>
    <t>Atlas Academy</t>
  </si>
  <si>
    <t>Training</t>
  </si>
  <si>
    <t>Nimbus Core</t>
  </si>
  <si>
    <t>Nimbus Pro</t>
  </si>
  <si>
    <t>Nimbus Edge</t>
  </si>
  <si>
    <t>Nimbus Implementation</t>
  </si>
  <si>
    <t>Nimbus Academy</t>
  </si>
  <si>
    <t>Vega Core</t>
  </si>
  <si>
    <t>Vega Pro</t>
  </si>
  <si>
    <t>Vega Edge</t>
  </si>
  <si>
    <t>Vega Implementation</t>
  </si>
  <si>
    <t>Vega Academy</t>
  </si>
  <si>
    <t>Orion Core</t>
  </si>
  <si>
    <t>Orion Pro</t>
  </si>
  <si>
    <t>Orion Edge</t>
  </si>
  <si>
    <t>Orion Implementation</t>
  </si>
  <si>
    <t>Orion Academy</t>
  </si>
  <si>
    <t>Kestrel Core</t>
  </si>
  <si>
    <t>Kestrel Pro</t>
  </si>
  <si>
    <t>Kestrel Edge</t>
  </si>
  <si>
    <t>Kestrel Implementation</t>
  </si>
  <si>
    <t>Kestrel Academy</t>
  </si>
  <si>
    <t>Lumen Core</t>
  </si>
  <si>
    <t>Lumen Pro</t>
  </si>
  <si>
    <t>Lumen Edge</t>
  </si>
  <si>
    <t>Lumen Implementation</t>
  </si>
  <si>
    <t>Lumen Academy</t>
  </si>
  <si>
    <t>Quanta Core</t>
  </si>
  <si>
    <t>Quanta Pro</t>
  </si>
  <si>
    <t>Quanta Edge</t>
  </si>
  <si>
    <t>Quanta Implementation</t>
  </si>
  <si>
    <t>Quanta Academy</t>
  </si>
  <si>
    <t>Helix Core</t>
  </si>
  <si>
    <t>Helix Pro</t>
  </si>
  <si>
    <t>Helix Edge</t>
  </si>
  <si>
    <t>Helix Implementation</t>
  </si>
  <si>
    <t>Helix Academy</t>
  </si>
  <si>
    <t>Zephyr Core (launch FY27)</t>
  </si>
  <si>
    <t>Zephyr Pro (launch FY27)</t>
  </si>
  <si>
    <t>Zephyr Edge (launch FY27)</t>
  </si>
  <si>
    <t>Zephyr Implementation (launch FY27)</t>
  </si>
  <si>
    <t>Zephyr Academy (launch FY27)</t>
  </si>
  <si>
    <t>Total</t>
  </si>
  <si>
    <t>Feb 2027 - product revenue plan</t>
  </si>
  <si>
    <t>Mar 2027 - product revenue plan</t>
  </si>
  <si>
    <t>Apr 2027 - product revenue plan</t>
  </si>
  <si>
    <t>May 2027 - product revenue plan</t>
  </si>
  <si>
    <t>Jun 2027 - product revenue plan</t>
  </si>
  <si>
    <t>Jul 2027 - product revenue plan</t>
  </si>
  <si>
    <t>Aug 2027 - product revenue plan</t>
  </si>
  <si>
    <t>Units: USD '000</t>
  </si>
  <si>
    <t>Sep 2027 - product revenue plan</t>
  </si>
  <si>
    <t>Oct 2027 - product revenue plan</t>
  </si>
  <si>
    <t>Nov 2027 - product revenue plan</t>
  </si>
  <si>
    <t>Dec 2027 - product revenue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</si>
</sst>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#,##0.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10" fontId="0" fillId="0" borderId="1" xfId="0" applyNumberFormat="1" applyBorder="1"/>
    <xf numFmtId="0" fontId="0" fillId="3" borderId="0" xfId="0" applyFill="1"/>
    <xf numFmtId="164" fontId="0" fillId="0" borderId="0" xfId="0" applyNumberFormat="1"/>
    <xf numFmtId="17" fontId="0" fillId="0" borderId="0" xfId="0" applyNumberFormat="1"/>
    <xf numFmtId="10" fontId="0" fillId="0" borderId="0" xfId="0" applyNumberFormat="1"/>
    <xf numFmtId="0" fontId="4" fillId="0" borderId="2" xfId="0" applyFont="1" applyBorder="1"/>
    <xf numFmtId="164" fontId="4" fillId="0" borderId="2" xfId="0" applyNumberFormat="1" applyFont="1" applyBorder="1"/>
    <xf numFmtId="166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0" fontId="4" fillId="0" borderId="0" xfId="0" applyFon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runs/_build/Budget_FINAL_v3_USE_THIS.xlsx" TargetMode="External"/><Relationship Id="rId1" Type="http://schemas.openxmlformats.org/officeDocument/2006/relationships/externalLinkPath" Target="/Users/divyaanshkharbanda/Desktop/claude-playground/reverse-engineer-sheets/runs/_build/Budget_FINAL_v3_USE_TH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gional"/>
    </sheetNames>
    <sheetDataSet>
      <sheetData sheetId="0">
        <row r="5">
          <cell r="C5">
            <v>1800000</v>
          </cell>
        </row>
        <row r="6">
          <cell r="C6">
            <v>1200000</v>
          </cell>
        </row>
        <row r="7">
          <cell r="C7">
            <v>900000</v>
          </cell>
        </row>
        <row r="8">
          <cell r="C8">
            <v>600000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tabSelected="1" workbookViewId="0"/>
  </sheetViews>
  <sheetFormatPr baseColWidth="10" defaultColWidth="8.83203125" defaultRowHeight="15" x14ac:dyDescent="0.2"/>
  <cols>
    <col min="1" max="1" width="42" customWidth="1"/>
    <col min="2" max="2" width="18" customWidth="1"/>
  </cols>
  <sheetData>
    <row r="1" spans="1:2" ht="19" x14ac:dyDescent="0.25">
      <c r="A1" s="1" t="s">
        <v>0</v>
      </c>
    </row>
    <row r="2" spans="1:2" x14ac:dyDescent="0.2">
      <c r="A2" s="2" t="s">
        <v>1</v>
      </c>
    </row>
    <row r="4" spans="1:2" ht="16" x14ac:dyDescent="0.2">
      <c r="A4" s="3" t="s">
        <v>2</v>
      </c>
      <c r="B4" s="3" t="s">
        <v>3</v>
      </c>
    </row>
    <row r="5" spans="1:2" x14ac:dyDescent="0.2">
      <c r="A5" s="4" t="s">
        <v>4</v>
      </c>
      <c r="B5" s="5">
        <f>Forecast!C17</f>
        <v>30277165.313999999</v>
      </c>
    </row>
    <row r="6" spans="1:2" x14ac:dyDescent="0.2">
      <c r="A6" s="4" t="s">
        <v>5</v>
      </c>
      <c r="B6" s="5">
        <f>Forecast!G17</f>
        <v>5643585.2139999997</v>
      </c>
    </row>
    <row r="7" spans="1:2" x14ac:dyDescent="0.2">
      <c r="A7" s="4" t="s">
        <v>6</v>
      </c>
      <c r="B7" s="6">
        <f>B6/B5</f>
        <v>0.18639741057233108</v>
      </c>
    </row>
    <row r="8" spans="1:2" x14ac:dyDescent="0.2">
      <c r="A8" s="4" t="s">
        <v>7</v>
      </c>
      <c r="B8" s="5">
        <f ca="1">Cash!F15</f>
        <v>7850462.8312577643</v>
      </c>
    </row>
    <row r="9" spans="1:2" x14ac:dyDescent="0.2">
      <c r="A9" s="4" t="s">
        <v>8</v>
      </c>
      <c r="B9" s="7">
        <f>AVERAGE(Forecast!I6:I16)</f>
        <v>0.20954892892695451</v>
      </c>
    </row>
    <row r="10" spans="1:2" x14ac:dyDescent="0.2">
      <c r="A10" s="4" t="s">
        <v>9</v>
      </c>
      <c r="B10" s="5">
        <f ca="1">Forecast!E2</f>
        <v>75400</v>
      </c>
    </row>
  </sheetData>
  <pageMargins left="0.75" right="0.75" top="1" bottom="1" header="0.5" footer="0.5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3" width="16" customWidth="1"/>
    <col min="4" max="4" width="13" customWidth="1"/>
    <col min="5" max="5" width="14" customWidth="1"/>
    <col min="6" max="6" width="12" customWidth="1"/>
    <col min="7" max="7" width="13" customWidth="1"/>
    <col min="8" max="8" width="11" customWidth="1"/>
    <col min="9" max="9" width="16" customWidth="1"/>
  </cols>
  <sheetData>
    <row r="1" spans="1:9" ht="19" x14ac:dyDescent="0.25">
      <c r="A1" s="1" t="s">
        <v>10</v>
      </c>
    </row>
    <row r="2" spans="1:9" x14ac:dyDescent="0.2">
      <c r="A2" t="s">
        <v>11</v>
      </c>
      <c r="B2" s="8" t="s">
        <v>12</v>
      </c>
      <c r="D2" t="s">
        <v>13</v>
      </c>
      <c r="E2" s="9">
        <f ca="1">INDIRECT("'"&amp;$B$2&amp;"'!C12")</f>
        <v>75400</v>
      </c>
    </row>
    <row r="4" spans="1:9" ht="32" x14ac:dyDescent="0.2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</row>
    <row r="5" spans="1:9" x14ac:dyDescent="0.2">
      <c r="A5" s="10">
        <v>46388</v>
      </c>
      <c r="B5" s="9">
        <f>Jan!C50</f>
        <v>2452400</v>
      </c>
      <c r="C5" s="9">
        <f>B5*(1+Growth_Rate)</f>
        <v>2525972</v>
      </c>
      <c r="D5" s="9">
        <f>Jan!D50</f>
        <v>1164300</v>
      </c>
      <c r="E5" s="9">
        <f t="shared" ref="E5:E16" si="0">C5-D5</f>
        <v>1361672</v>
      </c>
      <c r="F5" s="9">
        <f>Assumptions!$C$30</f>
        <v>888000</v>
      </c>
      <c r="G5" s="9">
        <f t="shared" ref="G5:G16" si="1">E5-F5+H5</f>
        <v>473672</v>
      </c>
      <c r="H5" s="9">
        <f>SUMPRODUCT((MONTH(DATEVALUE(Assumptions!$B$34:$B$37))=MONTH($A5))*Assumptions!$C$34:$C$37)</f>
        <v>0</v>
      </c>
    </row>
    <row r="6" spans="1:9" x14ac:dyDescent="0.2">
      <c r="A6" s="10">
        <v>46419</v>
      </c>
      <c r="B6" s="9">
        <f>Feb!C50</f>
        <v>2448300</v>
      </c>
      <c r="C6" s="9">
        <f>B6*(1+Growth_Rate)</f>
        <v>2521749</v>
      </c>
      <c r="D6" s="9">
        <f>Feb!D50</f>
        <v>1158000</v>
      </c>
      <c r="E6" s="9">
        <f t="shared" si="0"/>
        <v>1363749</v>
      </c>
      <c r="F6" s="9">
        <f>Assumptions!$C$30</f>
        <v>888000</v>
      </c>
      <c r="G6" s="9">
        <f t="shared" si="1"/>
        <v>475749</v>
      </c>
      <c r="H6" s="9">
        <f>SUMPRODUCT((MONTH(DATEVALUE(Assumptions!$B$34:$B$37))=MONTH($A6))*Assumptions!$C$34:$C$37)</f>
        <v>0</v>
      </c>
      <c r="I6" s="11">
        <f t="shared" ref="I6:I16" si="2">ABS(C6-C5)/(C5+C6)</f>
        <v>8.3661517742363337E-4</v>
      </c>
    </row>
    <row r="7" spans="1:9" x14ac:dyDescent="0.2">
      <c r="A7" s="10">
        <v>46447</v>
      </c>
      <c r="B7" s="9">
        <f>Mar!C50</f>
        <v>2813000</v>
      </c>
      <c r="C7" s="9">
        <f>B7*(1+Growth_Rate)</f>
        <v>2897390</v>
      </c>
      <c r="D7" s="9">
        <f>Mar!D50</f>
        <v>1333700</v>
      </c>
      <c r="E7" s="9">
        <f t="shared" si="0"/>
        <v>1563690</v>
      </c>
      <c r="F7" s="9">
        <f>Assumptions!$C$30</f>
        <v>888000</v>
      </c>
      <c r="G7" s="9">
        <f t="shared" si="1"/>
        <v>675690</v>
      </c>
      <c r="H7" s="9">
        <f>SUMPRODUCT((MONTH(DATEVALUE(Assumptions!$B$34:$B$37))=MONTH($A7))*Assumptions!$C$34:$C$37)</f>
        <v>0</v>
      </c>
      <c r="I7" s="11">
        <f t="shared" si="2"/>
        <v>6.9317469066580498E-2</v>
      </c>
    </row>
    <row r="8" spans="1:9" x14ac:dyDescent="0.2">
      <c r="A8" s="10">
        <v>46478</v>
      </c>
      <c r="B8" s="9">
        <f>Apr!C50</f>
        <v>2588500</v>
      </c>
      <c r="C8" s="9">
        <f>IFERROR(B8*(1+GrowthRate),B8)</f>
        <v>2588500</v>
      </c>
      <c r="D8" s="9">
        <f>Apr!D50</f>
        <v>1227300</v>
      </c>
      <c r="E8" s="9">
        <f t="shared" si="0"/>
        <v>1361200</v>
      </c>
      <c r="F8" s="9">
        <f>Assumptions!$C$30</f>
        <v>888000</v>
      </c>
      <c r="G8" s="9">
        <f t="shared" si="1"/>
        <v>558200</v>
      </c>
      <c r="H8" s="9">
        <f>SUMPRODUCT((MONTH(DATEVALUE(Assumptions!$B$34:$B$37))=MONTH($A8))*Assumptions!$C$34:$C$37)</f>
        <v>85000</v>
      </c>
      <c r="I8" s="11">
        <f t="shared" si="2"/>
        <v>5.6306269356476341E-2</v>
      </c>
    </row>
    <row r="9" spans="1:9" x14ac:dyDescent="0.2">
      <c r="A9" s="10">
        <v>46508</v>
      </c>
      <c r="B9" s="9">
        <f>May!C50</f>
        <v>2611700</v>
      </c>
      <c r="C9" s="9">
        <f>IFERROR(B9*(1+GrowthRate),B9)</f>
        <v>2611700</v>
      </c>
      <c r="D9" s="9">
        <f>May!D50</f>
        <v>1236700</v>
      </c>
      <c r="E9" s="9">
        <f t="shared" si="0"/>
        <v>1375000</v>
      </c>
      <c r="F9" s="9">
        <f>Assumptions!$C$30</f>
        <v>888000</v>
      </c>
      <c r="G9" s="9">
        <f t="shared" si="1"/>
        <v>487000</v>
      </c>
      <c r="H9" s="9">
        <f>SUMPRODUCT((MONTH(DATEVALUE(Assumptions!$B$34:$B$37))=MONTH($A9))*Assumptions!$C$34:$C$37)</f>
        <v>0</v>
      </c>
      <c r="I9" s="11">
        <f t="shared" si="2"/>
        <v>4.4613668705049802E-3</v>
      </c>
    </row>
    <row r="10" spans="1:9" x14ac:dyDescent="0.2">
      <c r="A10" s="10">
        <v>46539</v>
      </c>
      <c r="B10" s="9">
        <f>Jun!C50</f>
        <v>2762200</v>
      </c>
      <c r="C10" s="9">
        <f>B10*(1+Growth_Rate)</f>
        <v>2845066</v>
      </c>
      <c r="D10" s="9">
        <f>Jun!D50</f>
        <v>1316600</v>
      </c>
      <c r="E10" s="9">
        <f t="shared" si="0"/>
        <v>1528466</v>
      </c>
      <c r="F10" s="9">
        <f>Assumptions!$C$30</f>
        <v>888000</v>
      </c>
      <c r="G10" s="9">
        <f t="shared" si="1"/>
        <v>680466</v>
      </c>
      <c r="H10" s="9">
        <f>SUMPRODUCT((MONTH(DATEVALUE(Assumptions!$B$34:$B$37))=MONTH($A10))*Assumptions!$C$34:$C$37)</f>
        <v>40000</v>
      </c>
      <c r="I10" s="11">
        <f t="shared" si="2"/>
        <v>4.2766356482942462E-2</v>
      </c>
    </row>
    <row r="11" spans="1:9" x14ac:dyDescent="0.2">
      <c r="A11" s="10">
        <v>46569</v>
      </c>
      <c r="B11" s="9">
        <f>Jul!C50</f>
        <v>2516100</v>
      </c>
      <c r="C11" s="9">
        <f>B11*(1+Growth_Rate)</f>
        <v>2591583</v>
      </c>
      <c r="D11" s="9">
        <f>Jul!D50</f>
        <v>1189600</v>
      </c>
      <c r="E11" s="9">
        <f t="shared" si="0"/>
        <v>1401983</v>
      </c>
      <c r="F11" s="9">
        <f>Assumptions!$C$30</f>
        <v>888000</v>
      </c>
      <c r="G11" s="9">
        <f t="shared" si="1"/>
        <v>513983</v>
      </c>
      <c r="H11" s="9">
        <f>SUMPRODUCT((MONTH(DATEVALUE(Assumptions!$B$34:$B$37))=MONTH($A11))*Assumptions!$C$34:$C$37)</f>
        <v>0</v>
      </c>
      <c r="I11" s="11">
        <f t="shared" si="2"/>
        <v>4.6624860276983121E-2</v>
      </c>
    </row>
    <row r="12" spans="1:9" x14ac:dyDescent="0.2">
      <c r="A12" s="10">
        <v>46600</v>
      </c>
      <c r="B12" s="9">
        <f>Aug!C50</f>
        <v>2483.8000000000002</v>
      </c>
      <c r="C12" s="9">
        <f>B12*(1+Growth_Rate)</f>
        <v>2558.3140000000003</v>
      </c>
      <c r="D12" s="9">
        <f>Aug!D50</f>
        <v>1180.0999999999999</v>
      </c>
      <c r="E12" s="9">
        <f t="shared" si="0"/>
        <v>1378.2140000000004</v>
      </c>
      <c r="F12" s="9">
        <f>Assumptions!$C$30</f>
        <v>888000</v>
      </c>
      <c r="G12" s="9">
        <f t="shared" si="1"/>
        <v>-886621.78599999996</v>
      </c>
      <c r="H12" s="9">
        <f>SUMPRODUCT((MONTH(DATEVALUE(Assumptions!$B$34:$B$37))=MONTH($A12))*Assumptions!$C$34:$C$37)</f>
        <v>0</v>
      </c>
      <c r="I12" s="11">
        <f t="shared" si="2"/>
        <v>0.99802762171344084</v>
      </c>
    </row>
    <row r="13" spans="1:9" x14ac:dyDescent="0.2">
      <c r="A13" s="10">
        <v>46631</v>
      </c>
      <c r="B13" s="9">
        <f>Sep!C50</f>
        <v>2847300</v>
      </c>
      <c r="C13" s="9">
        <f>IFERROR(B13*(1+GrowthRate),B13)</f>
        <v>2847300</v>
      </c>
      <c r="D13" s="9">
        <f>Sep!D50</f>
        <v>1344900</v>
      </c>
      <c r="E13" s="9">
        <f t="shared" si="0"/>
        <v>1502400</v>
      </c>
      <c r="F13" s="9">
        <f>Assumptions!$C$30</f>
        <v>888000</v>
      </c>
      <c r="G13" s="9">
        <f t="shared" si="1"/>
        <v>554400</v>
      </c>
      <c r="H13" s="9">
        <f>SUMPRODUCT((MONTH(DATEVALUE(Assumptions!$B$34:$B$37))=MONTH($A13))*Assumptions!$C$34:$C$37)</f>
        <v>-60000</v>
      </c>
      <c r="I13" s="11">
        <f t="shared" si="2"/>
        <v>0.99820460267274902</v>
      </c>
    </row>
    <row r="14" spans="1:9" x14ac:dyDescent="0.2">
      <c r="A14" s="10">
        <v>46661</v>
      </c>
      <c r="B14" s="9">
        <f>Oct!C50</f>
        <v>2690000</v>
      </c>
      <c r="C14" s="9">
        <f>B14*(1+Growth_Rate)</f>
        <v>2770700</v>
      </c>
      <c r="D14" s="9">
        <f>Oct!D50</f>
        <v>1283000</v>
      </c>
      <c r="E14" s="9">
        <f t="shared" si="0"/>
        <v>1487700</v>
      </c>
      <c r="F14" s="9">
        <f>Assumptions!$C$30</f>
        <v>888000</v>
      </c>
      <c r="G14" s="9">
        <f t="shared" si="1"/>
        <v>624700</v>
      </c>
      <c r="H14" s="9">
        <f>SUMPRODUCT((MONTH(DATEVALUE(Assumptions!$B$34:$B$37))=MONTH($A14))*Assumptions!$C$34:$C$37)</f>
        <v>25000</v>
      </c>
      <c r="I14" s="11">
        <f t="shared" si="2"/>
        <v>1.3634745461018156E-2</v>
      </c>
    </row>
    <row r="15" spans="1:9" x14ac:dyDescent="0.2">
      <c r="A15" s="10">
        <v>46692</v>
      </c>
      <c r="B15" s="9">
        <f>Nov!C50</f>
        <v>2772500</v>
      </c>
      <c r="C15" s="9">
        <v>2856000</v>
      </c>
      <c r="D15" s="9">
        <f>Nov!D50</f>
        <v>1322800</v>
      </c>
      <c r="E15" s="9">
        <f t="shared" si="0"/>
        <v>1533200</v>
      </c>
      <c r="F15" s="9">
        <f>Assumptions!$C$30</f>
        <v>888000</v>
      </c>
      <c r="G15" s="9">
        <f t="shared" si="1"/>
        <v>645200</v>
      </c>
      <c r="H15" s="9">
        <f>SUMPRODUCT((MONTH(DATEVALUE(Assumptions!$B$34:$B$37))=MONTH($A15))*Assumptions!$C$34:$C$37)</f>
        <v>0</v>
      </c>
      <c r="I15" s="11">
        <f t="shared" si="2"/>
        <v>1.5159862797021344E-2</v>
      </c>
    </row>
    <row r="16" spans="1:9" x14ac:dyDescent="0.2">
      <c r="A16" s="10">
        <v>46722</v>
      </c>
      <c r="B16" s="9">
        <f>Dec!C50</f>
        <v>3124900</v>
      </c>
      <c r="C16" s="9">
        <f>B16*(1+Growth_Rate)</f>
        <v>3218647</v>
      </c>
      <c r="D16" s="9">
        <f>Dec!D50</f>
        <v>1489500</v>
      </c>
      <c r="E16" s="9">
        <f t="shared" si="0"/>
        <v>1729147</v>
      </c>
      <c r="F16" s="9">
        <f>Assumptions!$C$30</f>
        <v>888000</v>
      </c>
      <c r="G16" s="9">
        <f t="shared" si="1"/>
        <v>841147</v>
      </c>
      <c r="H16" s="9">
        <f>SUMPRODUCT((MONTH(DATEVALUE(Assumptions!$B$34:$B$37))=MONTH($A16))*Assumptions!$C$34:$C$37)</f>
        <v>0</v>
      </c>
      <c r="I16" s="11">
        <f t="shared" si="2"/>
        <v>5.9698448321359246E-2</v>
      </c>
    </row>
    <row r="17" spans="1:9" x14ac:dyDescent="0.2">
      <c r="A17" s="12" t="s">
        <v>3</v>
      </c>
      <c r="B17" s="13">
        <f t="shared" ref="B17:H17" si="3">SUM(B5:B16)</f>
        <v>29629383.800000001</v>
      </c>
      <c r="C17" s="13">
        <f t="shared" si="3"/>
        <v>30277165.313999999</v>
      </c>
      <c r="D17" s="13">
        <f t="shared" si="3"/>
        <v>14067580.1</v>
      </c>
      <c r="E17" s="13">
        <f t="shared" si="3"/>
        <v>16209585.214</v>
      </c>
      <c r="F17" s="13">
        <f t="shared" si="3"/>
        <v>10656000</v>
      </c>
      <c r="G17" s="13">
        <f t="shared" si="3"/>
        <v>5643585.2139999997</v>
      </c>
      <c r="H17" s="13">
        <f t="shared" si="3"/>
        <v>90000</v>
      </c>
      <c r="I17" s="12"/>
    </row>
  </sheetData>
  <dataValidations count="1">
    <dataValidation type="list" sqref="B2" xr:uid="{00000000-0002-0000-0100-000000000000}">
      <formula1>"Jan,Feb,Mar,Apr,May,Jun,Jul,Aug,Sep,Oct,Nov,Dec"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baseColWidth="10" defaultColWidth="8.83203125" defaultRowHeight="15" x14ac:dyDescent="0.2"/>
  <cols>
    <col min="1" max="1" width="9" customWidth="1"/>
    <col min="2" max="2" width="15" customWidth="1"/>
    <col min="3" max="3" width="13" customWidth="1"/>
    <col min="4" max="5" width="11" customWidth="1"/>
    <col min="6" max="6" width="15" customWidth="1"/>
  </cols>
  <sheetData>
    <row r="1" spans="1:6" ht="19" x14ac:dyDescent="0.25">
      <c r="A1" s="1" t="s">
        <v>23</v>
      </c>
    </row>
    <row r="2" spans="1:6" x14ac:dyDescent="0.2">
      <c r="A2" s="2" t="s">
        <v>24</v>
      </c>
    </row>
    <row r="3" spans="1:6" ht="16" x14ac:dyDescent="0.2">
      <c r="A3" s="3" t="s">
        <v>14</v>
      </c>
      <c r="B3" s="3" t="s">
        <v>25</v>
      </c>
      <c r="C3" s="3" t="s">
        <v>20</v>
      </c>
      <c r="D3" s="3" t="s">
        <v>26</v>
      </c>
      <c r="E3" s="3" t="s">
        <v>27</v>
      </c>
      <c r="F3" s="3" t="s">
        <v>28</v>
      </c>
    </row>
    <row r="4" spans="1:6" x14ac:dyDescent="0.2">
      <c r="A4" s="10">
        <f>Forecast!A5</f>
        <v>46388</v>
      </c>
      <c r="B4" s="9">
        <f>Assumptions!C8</f>
        <v>2500000</v>
      </c>
      <c r="C4" s="9">
        <f>Forecast!G5</f>
        <v>473672</v>
      </c>
      <c r="D4" s="9">
        <f>Assumptions!$C$9/12</f>
        <v>50000</v>
      </c>
      <c r="E4" s="9">
        <f ca="1">(B4+F4)/2*Assumptions!$C$10/12</f>
        <v>13593.16290726817</v>
      </c>
      <c r="F4" s="9">
        <f t="shared" ref="F4:F15" ca="1" si="0">B4+C4-D4+E4</f>
        <v>2937265.1629072684</v>
      </c>
    </row>
    <row r="5" spans="1:6" x14ac:dyDescent="0.2">
      <c r="A5" s="10">
        <f>Forecast!A6</f>
        <v>46419</v>
      </c>
      <c r="B5" s="9">
        <f t="shared" ref="B5:B15" ca="1" si="1">F4</f>
        <v>2937265.1629072684</v>
      </c>
      <c r="C5" s="9">
        <f>Forecast!G6</f>
        <v>475749</v>
      </c>
      <c r="D5" s="9">
        <f>Assumptions!$C$9/12</f>
        <v>50000</v>
      </c>
      <c r="E5" s="9">
        <f ca="1">(B5+F5)/2*Assumptions!$C$10/12</f>
        <v>15790.173748908614</v>
      </c>
      <c r="F5" s="9">
        <f t="shared" ca="1" si="0"/>
        <v>3378804.336656177</v>
      </c>
    </row>
    <row r="6" spans="1:6" x14ac:dyDescent="0.2">
      <c r="A6" s="10">
        <f>Forecast!A7</f>
        <v>46447</v>
      </c>
      <c r="B6" s="9">
        <f t="shared" ca="1" si="1"/>
        <v>3378804.336656177</v>
      </c>
      <c r="C6" s="9">
        <f>Forecast!G7</f>
        <v>675690</v>
      </c>
      <c r="D6" s="9">
        <f>Assumptions!$C$9/12</f>
        <v>50000</v>
      </c>
      <c r="E6" s="9">
        <f ca="1">(B6+F6)/2*Assumptions!$C$10/12</f>
        <v>18504.507953163793</v>
      </c>
      <c r="F6" s="9">
        <f t="shared" ca="1" si="0"/>
        <v>4022998.8446093407</v>
      </c>
    </row>
    <row r="7" spans="1:6" x14ac:dyDescent="0.2">
      <c r="A7" s="10">
        <f>Forecast!A8</f>
        <v>46478</v>
      </c>
      <c r="B7" s="9">
        <f t="shared" ca="1" si="1"/>
        <v>4022998.8446093407</v>
      </c>
      <c r="C7" s="9">
        <f>Forecast!G8</f>
        <v>558200</v>
      </c>
      <c r="D7" s="9">
        <f>Assumptions!$C$9/12</f>
        <v>50000</v>
      </c>
      <c r="E7" s="9">
        <f ca="1">(B7+F7)/2*Assumptions!$C$10/12</f>
        <v>21439.091952929026</v>
      </c>
      <c r="F7" s="9">
        <f t="shared" ca="1" si="0"/>
        <v>4552637.9365622699</v>
      </c>
    </row>
    <row r="8" spans="1:6" x14ac:dyDescent="0.2">
      <c r="A8" s="10">
        <f>Forecast!A9</f>
        <v>46508</v>
      </c>
      <c r="B8" s="9">
        <f t="shared" ca="1" si="1"/>
        <v>4552637.9365622699</v>
      </c>
      <c r="C8" s="9">
        <f>Forecast!G9</f>
        <v>487000</v>
      </c>
      <c r="D8" s="9">
        <f>Assumptions!$C$9/12</f>
        <v>50000</v>
      </c>
      <c r="E8" s="9">
        <f ca="1">(B8+F8)/2*Assumptions!$C$10/12</f>
        <v>23915.478378758242</v>
      </c>
      <c r="F8" s="9">
        <f t="shared" ca="1" si="0"/>
        <v>5013553.4149410278</v>
      </c>
    </row>
    <row r="9" spans="1:6" x14ac:dyDescent="0.2">
      <c r="A9" s="10">
        <f>Forecast!A10</f>
        <v>46539</v>
      </c>
      <c r="B9" s="9">
        <f t="shared" ca="1" si="1"/>
        <v>5013553.4149410278</v>
      </c>
      <c r="C9" s="9">
        <f>Forecast!G10</f>
        <v>680466</v>
      </c>
      <c r="D9" s="9">
        <f>Assumptions!$C$9/12</f>
        <v>50000</v>
      </c>
      <c r="E9" s="9">
        <f ca="1">(B9+F9)/2*Assumptions!$C$10/12</f>
        <v>26710.708846822192</v>
      </c>
      <c r="F9" s="9">
        <f t="shared" ca="1" si="0"/>
        <v>5670730.1237878501</v>
      </c>
    </row>
    <row r="10" spans="1:6" x14ac:dyDescent="0.2">
      <c r="A10" s="10">
        <f>Forecast!A11</f>
        <v>46569</v>
      </c>
      <c r="B10" s="9">
        <f t="shared" ca="1" si="1"/>
        <v>5670730.1237878501</v>
      </c>
      <c r="C10" s="9">
        <f>Forecast!G11</f>
        <v>513983</v>
      </c>
      <c r="D10" s="9">
        <f>Assumptions!$C$9/12</f>
        <v>50000</v>
      </c>
      <c r="E10" s="9">
        <f ca="1">(B10+F10)/2*Assumptions!$C$10/12</f>
        <v>29587.577061593231</v>
      </c>
      <c r="F10" s="9">
        <f t="shared" ca="1" si="0"/>
        <v>6164300.7008494437</v>
      </c>
    </row>
    <row r="11" spans="1:6" x14ac:dyDescent="0.2">
      <c r="A11" s="10">
        <f>Forecast!A12</f>
        <v>46600</v>
      </c>
      <c r="B11" s="9">
        <f t="shared" ca="1" si="1"/>
        <v>6164300.7008494437</v>
      </c>
      <c r="C11" s="9">
        <f>Forecast!G12</f>
        <v>-886621.78599999996</v>
      </c>
      <c r="D11" s="9">
        <f>Assumptions!$C$9/12</f>
        <v>50000</v>
      </c>
      <c r="E11" s="9">
        <f ca="1">(B11+F11)/2*Assumptions!$C$10/12</f>
        <v>28551.327357641319</v>
      </c>
      <c r="F11" s="9">
        <f t="shared" ca="1" si="0"/>
        <v>5256230.2422070848</v>
      </c>
    </row>
    <row r="12" spans="1:6" x14ac:dyDescent="0.2">
      <c r="A12" s="10">
        <f>Forecast!A13</f>
        <v>46631</v>
      </c>
      <c r="B12" s="9">
        <f t="shared" ca="1" si="1"/>
        <v>5256230.2422070848</v>
      </c>
      <c r="C12" s="9">
        <f>Forecast!G13</f>
        <v>554400</v>
      </c>
      <c r="D12" s="9">
        <f>Assumptions!$C$9/12</f>
        <v>50000</v>
      </c>
      <c r="E12" s="9">
        <f ca="1">(B12+F12)/2*Assumptions!$C$10/12</f>
        <v>27611.179158932751</v>
      </c>
      <c r="F12" s="9">
        <f t="shared" ca="1" si="0"/>
        <v>5788241.4213660173</v>
      </c>
    </row>
    <row r="13" spans="1:6" x14ac:dyDescent="0.2">
      <c r="A13" s="10">
        <f>Forecast!A14</f>
        <v>46661</v>
      </c>
      <c r="B13" s="9">
        <f t="shared" ca="1" si="1"/>
        <v>5788241.4213660173</v>
      </c>
      <c r="C13" s="9">
        <f>Forecast!G14</f>
        <v>624700</v>
      </c>
      <c r="D13" s="9">
        <f>Assumptions!$C$9/12</f>
        <v>50000</v>
      </c>
      <c r="E13" s="9">
        <f ca="1">(B13+F13)/2*Assumptions!$C$10/12</f>
        <v>30454.092337674272</v>
      </c>
      <c r="F13" s="9">
        <f t="shared" ca="1" si="0"/>
        <v>6393395.5137036918</v>
      </c>
    </row>
    <row r="14" spans="1:6" x14ac:dyDescent="0.2">
      <c r="A14" s="10">
        <f>Forecast!A15</f>
        <v>46692</v>
      </c>
      <c r="B14" s="9">
        <f t="shared" ca="1" si="1"/>
        <v>6393395.5137036918</v>
      </c>
      <c r="C14" s="9">
        <f>Forecast!G15</f>
        <v>645200</v>
      </c>
      <c r="D14" s="9">
        <f>Assumptions!$C$9/12</f>
        <v>50000</v>
      </c>
      <c r="E14" s="9">
        <f ca="1">(B14+F14)/2*Assumptions!$C$10/12</f>
        <v>33538.824630093695</v>
      </c>
      <c r="F14" s="9">
        <f t="shared" ca="1" si="0"/>
        <v>7022134.3383337855</v>
      </c>
    </row>
    <row r="15" spans="1:6" x14ac:dyDescent="0.2">
      <c r="A15" s="10">
        <f>Forecast!A16</f>
        <v>46722</v>
      </c>
      <c r="B15" s="9">
        <f t="shared" ca="1" si="1"/>
        <v>7022134.3383337855</v>
      </c>
      <c r="C15" s="9">
        <f>Forecast!G16</f>
        <v>841147</v>
      </c>
      <c r="D15" s="9">
        <f>Assumptions!$C$9/12</f>
        <v>50000</v>
      </c>
      <c r="E15" s="9">
        <f ca="1">(B15+F15)/2*Assumptions!$C$10/12</f>
        <v>37181.492923978869</v>
      </c>
      <c r="F15" s="9">
        <f t="shared" ca="1" si="0"/>
        <v>7850462.8312577643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/>
  </sheetViews>
  <sheetFormatPr baseColWidth="10" defaultColWidth="8.83203125" defaultRowHeight="15" x14ac:dyDescent="0.2"/>
  <cols>
    <col min="1" max="1" width="36" customWidth="1"/>
    <col min="2" max="2" width="12" customWidth="1"/>
    <col min="3" max="3" width="14" customWidth="1"/>
    <col min="4" max="4" width="26" customWidth="1"/>
  </cols>
  <sheetData>
    <row r="1" spans="1:4" ht="19" x14ac:dyDescent="0.25">
      <c r="A1" s="1" t="s">
        <v>29</v>
      </c>
    </row>
    <row r="2" spans="1:4" x14ac:dyDescent="0.2">
      <c r="A2" s="2" t="s">
        <v>30</v>
      </c>
    </row>
    <row r="3" spans="1:4" ht="16" x14ac:dyDescent="0.2">
      <c r="A3" s="3" t="s">
        <v>31</v>
      </c>
      <c r="B3" s="3"/>
      <c r="C3" s="3" t="s">
        <v>32</v>
      </c>
      <c r="D3" s="3" t="s">
        <v>33</v>
      </c>
    </row>
    <row r="5" spans="1:4" x14ac:dyDescent="0.2">
      <c r="A5" t="s">
        <v>34</v>
      </c>
      <c r="C5" s="14">
        <v>0.03</v>
      </c>
      <c r="D5" t="s">
        <v>35</v>
      </c>
    </row>
    <row r="6" spans="1:4" x14ac:dyDescent="0.2">
      <c r="A6" t="s">
        <v>36</v>
      </c>
      <c r="C6" s="15">
        <v>83.5</v>
      </c>
    </row>
    <row r="8" spans="1:4" x14ac:dyDescent="0.2">
      <c r="A8" t="s">
        <v>37</v>
      </c>
      <c r="C8" s="16">
        <v>2500000</v>
      </c>
      <c r="D8" t="s">
        <v>38</v>
      </c>
    </row>
    <row r="9" spans="1:4" x14ac:dyDescent="0.2">
      <c r="A9" t="s">
        <v>39</v>
      </c>
      <c r="C9" s="16">
        <v>600000</v>
      </c>
      <c r="D9" t="s">
        <v>40</v>
      </c>
    </row>
    <row r="10" spans="1:4" x14ac:dyDescent="0.2">
      <c r="A10" t="s">
        <v>41</v>
      </c>
      <c r="C10" s="14">
        <v>0.06</v>
      </c>
      <c r="D10" t="s">
        <v>42</v>
      </c>
    </row>
    <row r="12" spans="1:4" ht="16" x14ac:dyDescent="0.2">
      <c r="A12" s="3" t="s">
        <v>43</v>
      </c>
      <c r="B12" s="3"/>
      <c r="C12" s="3" t="s">
        <v>32</v>
      </c>
      <c r="D12" s="3"/>
    </row>
    <row r="13" spans="1:4" x14ac:dyDescent="0.2">
      <c r="A13" t="s">
        <v>44</v>
      </c>
      <c r="C13" s="16">
        <v>420000</v>
      </c>
    </row>
    <row r="14" spans="1:4" x14ac:dyDescent="0.2">
      <c r="A14" t="s">
        <v>45</v>
      </c>
      <c r="C14" s="16">
        <v>18000</v>
      </c>
    </row>
    <row r="15" spans="1:4" x14ac:dyDescent="0.2">
      <c r="A15" t="s">
        <v>46</v>
      </c>
      <c r="C15" s="16">
        <v>22000</v>
      </c>
    </row>
    <row r="16" spans="1:4" x14ac:dyDescent="0.2">
      <c r="A16" t="s">
        <v>47</v>
      </c>
      <c r="C16" s="16">
        <v>9500</v>
      </c>
    </row>
    <row r="17" spans="1:4" x14ac:dyDescent="0.2">
      <c r="A17" t="s">
        <v>48</v>
      </c>
      <c r="C17" s="16">
        <v>55000</v>
      </c>
    </row>
    <row r="18" spans="1:4" x14ac:dyDescent="0.2">
      <c r="A18" t="s">
        <v>49</v>
      </c>
      <c r="C18" s="16">
        <v>38000</v>
      </c>
    </row>
    <row r="19" spans="1:4" ht="16" x14ac:dyDescent="0.2">
      <c r="A19" s="3" t="s">
        <v>50</v>
      </c>
      <c r="B19" s="3"/>
      <c r="C19" s="3" t="s">
        <v>32</v>
      </c>
      <c r="D19" s="3" t="s">
        <v>51</v>
      </c>
    </row>
    <row r="20" spans="1:4" x14ac:dyDescent="0.2">
      <c r="A20" t="s">
        <v>52</v>
      </c>
      <c r="C20" s="9">
        <f>[1]Regional!C5</f>
        <v>1800000</v>
      </c>
      <c r="D20" t="s">
        <v>53</v>
      </c>
    </row>
    <row r="21" spans="1:4" x14ac:dyDescent="0.2">
      <c r="A21" t="s">
        <v>54</v>
      </c>
      <c r="C21" s="9">
        <f>[1]Regional!C6</f>
        <v>1200000</v>
      </c>
      <c r="D21" t="s">
        <v>53</v>
      </c>
    </row>
    <row r="22" spans="1:4" x14ac:dyDescent="0.2">
      <c r="A22" t="s">
        <v>55</v>
      </c>
      <c r="C22" s="9">
        <f>[1]Regional!C7</f>
        <v>900000</v>
      </c>
      <c r="D22" t="s">
        <v>53</v>
      </c>
    </row>
    <row r="23" spans="1:4" x14ac:dyDescent="0.2">
      <c r="A23" t="s">
        <v>56</v>
      </c>
      <c r="C23" s="9">
        <f>[1]Regional!C8</f>
        <v>600000</v>
      </c>
      <c r="D23" t="s">
        <v>53</v>
      </c>
    </row>
    <row r="24" spans="1:4" ht="16" x14ac:dyDescent="0.2">
      <c r="A24" s="3" t="s">
        <v>57</v>
      </c>
      <c r="B24" s="3"/>
      <c r="C24" s="3" t="s">
        <v>32</v>
      </c>
      <c r="D24" s="3"/>
    </row>
    <row r="25" spans="1:4" x14ac:dyDescent="0.2">
      <c r="A25" t="s">
        <v>44</v>
      </c>
      <c r="C25" s="9">
        <f>C13</f>
        <v>420000</v>
      </c>
    </row>
    <row r="26" spans="1:4" x14ac:dyDescent="0.2">
      <c r="A26" t="s">
        <v>58</v>
      </c>
      <c r="C26" s="9">
        <f>C17+C18</f>
        <v>93000</v>
      </c>
    </row>
    <row r="27" spans="1:4" x14ac:dyDescent="0.2">
      <c r="A27" t="s">
        <v>59</v>
      </c>
      <c r="C27" s="9">
        <f>IFERROR(SUM(C14:C16)+#REF!,0)</f>
        <v>0</v>
      </c>
    </row>
    <row r="28" spans="1:4" x14ac:dyDescent="0.2">
      <c r="A28" t="s">
        <v>60</v>
      </c>
      <c r="C28" s="9">
        <f>SUM(C20:C23)/12</f>
        <v>375000</v>
      </c>
    </row>
    <row r="30" spans="1:4" x14ac:dyDescent="0.2">
      <c r="A30" s="17" t="s">
        <v>61</v>
      </c>
      <c r="C30" s="13">
        <f>SUM(C25:C28)</f>
        <v>888000</v>
      </c>
    </row>
    <row r="33" spans="1:4" ht="16" x14ac:dyDescent="0.2">
      <c r="A33" s="3" t="s">
        <v>62</v>
      </c>
      <c r="B33" s="3" t="s">
        <v>63</v>
      </c>
      <c r="C33" s="3" t="s">
        <v>64</v>
      </c>
      <c r="D33" s="3"/>
    </row>
    <row r="34" spans="1:4" x14ac:dyDescent="0.2">
      <c r="A34" t="s">
        <v>65</v>
      </c>
      <c r="B34" s="18" t="s">
        <v>66</v>
      </c>
      <c r="C34" s="9">
        <v>85000</v>
      </c>
    </row>
    <row r="35" spans="1:4" x14ac:dyDescent="0.2">
      <c r="A35" t="s">
        <v>67</v>
      </c>
      <c r="B35" s="18" t="s">
        <v>68</v>
      </c>
      <c r="C35" s="9">
        <v>40000</v>
      </c>
    </row>
    <row r="36" spans="1:4" x14ac:dyDescent="0.2">
      <c r="A36" t="s">
        <v>69</v>
      </c>
      <c r="B36" s="18" t="s">
        <v>70</v>
      </c>
      <c r="C36" s="9">
        <v>-60000</v>
      </c>
    </row>
    <row r="37" spans="1:4" x14ac:dyDescent="0.2">
      <c r="A37" t="s">
        <v>71</v>
      </c>
      <c r="B37" s="18" t="s">
        <v>72</v>
      </c>
      <c r="C37" s="9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73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98200</v>
      </c>
      <c r="D5" s="9">
        <v>39100</v>
      </c>
    </row>
    <row r="6" spans="1:4" x14ac:dyDescent="0.2">
      <c r="A6" t="s">
        <v>80</v>
      </c>
      <c r="B6" t="s">
        <v>79</v>
      </c>
      <c r="C6" s="9">
        <v>36100</v>
      </c>
      <c r="D6" s="9">
        <v>17100</v>
      </c>
    </row>
    <row r="7" spans="1:4" x14ac:dyDescent="0.2">
      <c r="A7" t="s">
        <v>81</v>
      </c>
      <c r="B7" t="s">
        <v>82</v>
      </c>
      <c r="C7" s="9">
        <v>98500</v>
      </c>
      <c r="D7" s="9">
        <v>49700</v>
      </c>
    </row>
    <row r="8" spans="1:4" x14ac:dyDescent="0.2">
      <c r="A8" t="s">
        <v>83</v>
      </c>
      <c r="B8" t="s">
        <v>84</v>
      </c>
      <c r="C8" s="9">
        <v>76900</v>
      </c>
      <c r="D8" s="9">
        <v>36800</v>
      </c>
    </row>
    <row r="9" spans="1:4" x14ac:dyDescent="0.2">
      <c r="A9" t="s">
        <v>85</v>
      </c>
      <c r="B9" t="s">
        <v>86</v>
      </c>
      <c r="C9" s="9">
        <v>32000</v>
      </c>
      <c r="D9" s="9">
        <v>10800</v>
      </c>
    </row>
    <row r="10" spans="1:4" x14ac:dyDescent="0.2">
      <c r="A10" t="s">
        <v>87</v>
      </c>
      <c r="B10" t="s">
        <v>79</v>
      </c>
      <c r="C10" s="9">
        <v>100300</v>
      </c>
      <c r="D10" s="9">
        <v>41000</v>
      </c>
    </row>
    <row r="11" spans="1:4" x14ac:dyDescent="0.2">
      <c r="A11" t="s">
        <v>88</v>
      </c>
      <c r="B11" t="s">
        <v>79</v>
      </c>
      <c r="C11" s="9">
        <v>66400</v>
      </c>
      <c r="D11" s="9">
        <v>32700</v>
      </c>
    </row>
    <row r="12" spans="1:4" x14ac:dyDescent="0.2">
      <c r="A12" t="s">
        <v>89</v>
      </c>
      <c r="B12" t="s">
        <v>82</v>
      </c>
      <c r="C12" s="9">
        <v>64500</v>
      </c>
      <c r="D12" s="9">
        <v>32000</v>
      </c>
    </row>
    <row r="13" spans="1:4" x14ac:dyDescent="0.2">
      <c r="A13" t="s">
        <v>90</v>
      </c>
      <c r="B13" t="s">
        <v>84</v>
      </c>
      <c r="C13" s="9">
        <v>76900</v>
      </c>
      <c r="D13" s="9">
        <v>24400</v>
      </c>
    </row>
    <row r="14" spans="1:4" x14ac:dyDescent="0.2">
      <c r="A14" t="s">
        <v>91</v>
      </c>
      <c r="B14" t="s">
        <v>86</v>
      </c>
      <c r="C14" s="9">
        <v>87600</v>
      </c>
      <c r="D14" s="9">
        <v>22700</v>
      </c>
    </row>
    <row r="15" spans="1:4" x14ac:dyDescent="0.2">
      <c r="A15" t="s">
        <v>92</v>
      </c>
      <c r="B15" t="s">
        <v>79</v>
      </c>
      <c r="C15" s="9">
        <v>29300</v>
      </c>
      <c r="D15" s="9">
        <v>11700</v>
      </c>
    </row>
    <row r="16" spans="1:4" x14ac:dyDescent="0.2">
      <c r="A16" t="s">
        <v>93</v>
      </c>
      <c r="B16" t="s">
        <v>79</v>
      </c>
      <c r="C16" s="9">
        <v>36200</v>
      </c>
      <c r="D16" s="9">
        <v>9400</v>
      </c>
    </row>
    <row r="17" spans="1:4" x14ac:dyDescent="0.2">
      <c r="A17" t="s">
        <v>94</v>
      </c>
      <c r="B17" t="s">
        <v>82</v>
      </c>
      <c r="C17" s="9">
        <v>44300</v>
      </c>
      <c r="D17" s="9">
        <v>11300</v>
      </c>
    </row>
    <row r="18" spans="1:4" x14ac:dyDescent="0.2">
      <c r="A18" t="s">
        <v>95</v>
      </c>
      <c r="B18" t="s">
        <v>84</v>
      </c>
      <c r="C18" s="9">
        <v>83300</v>
      </c>
      <c r="D18" s="9">
        <v>23400</v>
      </c>
    </row>
    <row r="19" spans="1:4" x14ac:dyDescent="0.2">
      <c r="A19" t="s">
        <v>96</v>
      </c>
      <c r="B19" t="s">
        <v>86</v>
      </c>
      <c r="C19" s="9">
        <v>65700</v>
      </c>
      <c r="D19" s="9">
        <v>22000</v>
      </c>
    </row>
    <row r="20" spans="1:4" x14ac:dyDescent="0.2">
      <c r="A20" t="s">
        <v>97</v>
      </c>
      <c r="B20" t="s">
        <v>79</v>
      </c>
      <c r="C20" s="9">
        <v>45000</v>
      </c>
      <c r="D20" s="9">
        <v>18700</v>
      </c>
    </row>
    <row r="21" spans="1:4" x14ac:dyDescent="0.2">
      <c r="A21" t="s">
        <v>98</v>
      </c>
      <c r="B21" t="s">
        <v>79</v>
      </c>
      <c r="C21" s="9">
        <v>111900</v>
      </c>
      <c r="D21" s="9">
        <v>53800</v>
      </c>
    </row>
    <row r="22" spans="1:4" x14ac:dyDescent="0.2">
      <c r="A22" t="s">
        <v>99</v>
      </c>
      <c r="B22" t="s">
        <v>82</v>
      </c>
      <c r="C22" s="9">
        <v>50900</v>
      </c>
      <c r="D22" s="9">
        <v>22000</v>
      </c>
    </row>
    <row r="23" spans="1:4" x14ac:dyDescent="0.2">
      <c r="A23" t="s">
        <v>100</v>
      </c>
      <c r="B23" t="s">
        <v>84</v>
      </c>
      <c r="C23" s="9">
        <v>24400</v>
      </c>
      <c r="D23" s="9">
        <v>13100</v>
      </c>
    </row>
    <row r="24" spans="1:4" x14ac:dyDescent="0.2">
      <c r="A24" t="s">
        <v>101</v>
      </c>
      <c r="B24" t="s">
        <v>86</v>
      </c>
      <c r="C24" s="9">
        <v>45200</v>
      </c>
      <c r="D24" s="9">
        <v>14300</v>
      </c>
    </row>
    <row r="25" spans="1:4" x14ac:dyDescent="0.2">
      <c r="A25" t="s">
        <v>102</v>
      </c>
      <c r="B25" t="s">
        <v>79</v>
      </c>
      <c r="C25" s="9">
        <v>65300</v>
      </c>
      <c r="D25" s="9">
        <v>26000</v>
      </c>
    </row>
    <row r="26" spans="1:4" x14ac:dyDescent="0.2">
      <c r="A26" t="s">
        <v>103</v>
      </c>
      <c r="B26" t="s">
        <v>79</v>
      </c>
      <c r="C26" s="9">
        <v>57300</v>
      </c>
      <c r="D26" s="9">
        <v>29700</v>
      </c>
    </row>
    <row r="27" spans="1:4" x14ac:dyDescent="0.2">
      <c r="A27" t="s">
        <v>104</v>
      </c>
      <c r="B27" t="s">
        <v>82</v>
      </c>
      <c r="C27" s="9">
        <v>104100</v>
      </c>
      <c r="D27" s="9">
        <v>40900</v>
      </c>
    </row>
    <row r="28" spans="1:4" x14ac:dyDescent="0.2">
      <c r="A28" t="s">
        <v>105</v>
      </c>
      <c r="B28" t="s">
        <v>84</v>
      </c>
      <c r="C28" s="9">
        <v>28300</v>
      </c>
      <c r="D28" s="9">
        <v>11100</v>
      </c>
    </row>
    <row r="29" spans="1:4" x14ac:dyDescent="0.2">
      <c r="A29" t="s">
        <v>106</v>
      </c>
      <c r="B29" t="s">
        <v>86</v>
      </c>
      <c r="C29" s="9">
        <v>71600</v>
      </c>
      <c r="D29" s="9">
        <v>35200</v>
      </c>
    </row>
    <row r="30" spans="1:4" x14ac:dyDescent="0.2">
      <c r="A30" t="s">
        <v>107</v>
      </c>
      <c r="B30" t="s">
        <v>79</v>
      </c>
      <c r="C30" s="9">
        <v>71200</v>
      </c>
      <c r="D30" s="9">
        <v>19700</v>
      </c>
    </row>
    <row r="31" spans="1:4" x14ac:dyDescent="0.2">
      <c r="A31" t="s">
        <v>108</v>
      </c>
      <c r="B31" t="s">
        <v>79</v>
      </c>
      <c r="C31" s="9">
        <v>34000</v>
      </c>
      <c r="D31" s="9">
        <v>16800</v>
      </c>
    </row>
    <row r="32" spans="1:4" x14ac:dyDescent="0.2">
      <c r="A32" t="s">
        <v>109</v>
      </c>
      <c r="B32" t="s">
        <v>82</v>
      </c>
      <c r="C32" s="9">
        <v>58900</v>
      </c>
      <c r="D32" s="9">
        <v>29900</v>
      </c>
    </row>
    <row r="33" spans="1:4" x14ac:dyDescent="0.2">
      <c r="A33" t="s">
        <v>110</v>
      </c>
      <c r="B33" t="s">
        <v>84</v>
      </c>
      <c r="C33" s="9">
        <v>83400</v>
      </c>
      <c r="D33" s="9">
        <v>32500</v>
      </c>
    </row>
    <row r="34" spans="1:4" x14ac:dyDescent="0.2">
      <c r="A34" t="s">
        <v>111</v>
      </c>
      <c r="B34" t="s">
        <v>86</v>
      </c>
      <c r="C34" s="9">
        <v>19900</v>
      </c>
      <c r="D34" s="9">
        <v>9200</v>
      </c>
    </row>
    <row r="35" spans="1:4" x14ac:dyDescent="0.2">
      <c r="A35" t="s">
        <v>112</v>
      </c>
      <c r="B35" t="s">
        <v>79</v>
      </c>
      <c r="C35" s="9">
        <v>42300</v>
      </c>
      <c r="D35" s="9">
        <v>10700</v>
      </c>
    </row>
    <row r="36" spans="1:4" x14ac:dyDescent="0.2">
      <c r="A36" t="s">
        <v>113</v>
      </c>
      <c r="B36" t="s">
        <v>79</v>
      </c>
      <c r="C36" s="9">
        <v>41400</v>
      </c>
      <c r="D36" s="9">
        <v>12300</v>
      </c>
    </row>
    <row r="37" spans="1:4" x14ac:dyDescent="0.2">
      <c r="A37" t="s">
        <v>114</v>
      </c>
      <c r="B37" t="s">
        <v>82</v>
      </c>
      <c r="C37" s="9">
        <v>53800</v>
      </c>
      <c r="D37" s="9">
        <v>16500</v>
      </c>
    </row>
    <row r="38" spans="1:4" x14ac:dyDescent="0.2">
      <c r="A38" t="s">
        <v>115</v>
      </c>
      <c r="B38" t="s">
        <v>84</v>
      </c>
      <c r="C38" s="9">
        <v>64800</v>
      </c>
      <c r="D38" s="9">
        <v>30400</v>
      </c>
    </row>
    <row r="39" spans="1:4" x14ac:dyDescent="0.2">
      <c r="A39" t="s">
        <v>116</v>
      </c>
      <c r="B39" t="s">
        <v>86</v>
      </c>
      <c r="C39" s="9">
        <v>52300</v>
      </c>
      <c r="D39" s="9">
        <v>26200</v>
      </c>
    </row>
    <row r="40" spans="1:4" x14ac:dyDescent="0.2">
      <c r="A40" t="s">
        <v>117</v>
      </c>
      <c r="B40" t="s">
        <v>79</v>
      </c>
      <c r="C40" s="9">
        <v>98600</v>
      </c>
      <c r="D40" s="9">
        <v>47800</v>
      </c>
    </row>
    <row r="41" spans="1:4" x14ac:dyDescent="0.2">
      <c r="A41" t="s">
        <v>118</v>
      </c>
      <c r="B41" t="s">
        <v>79</v>
      </c>
      <c r="C41" s="9">
        <v>103800</v>
      </c>
      <c r="D41" s="9">
        <v>31800</v>
      </c>
    </row>
    <row r="42" spans="1:4" x14ac:dyDescent="0.2">
      <c r="A42" t="s">
        <v>119</v>
      </c>
      <c r="B42" t="s">
        <v>82</v>
      </c>
      <c r="C42" s="9">
        <v>26400</v>
      </c>
      <c r="D42" s="9">
        <v>12900</v>
      </c>
    </row>
    <row r="43" spans="1:4" x14ac:dyDescent="0.2">
      <c r="A43" t="s">
        <v>120</v>
      </c>
      <c r="B43" t="s">
        <v>84</v>
      </c>
      <c r="C43" s="9">
        <v>26600</v>
      </c>
      <c r="D43" s="9">
        <v>8600</v>
      </c>
    </row>
    <row r="44" spans="1:4" x14ac:dyDescent="0.2">
      <c r="A44" t="s">
        <v>121</v>
      </c>
      <c r="B44" t="s">
        <v>86</v>
      </c>
      <c r="C44" s="9">
        <v>74800</v>
      </c>
      <c r="D44" s="9">
        <v>32100</v>
      </c>
    </row>
    <row r="45" spans="1:4" x14ac:dyDescent="0.2">
      <c r="A45" t="s">
        <v>122</v>
      </c>
      <c r="B45" t="s">
        <v>79</v>
      </c>
      <c r="C45" s="9">
        <v>43000</v>
      </c>
      <c r="D45" s="9">
        <v>12600</v>
      </c>
    </row>
    <row r="46" spans="1:4" x14ac:dyDescent="0.2">
      <c r="A46" t="s">
        <v>123</v>
      </c>
      <c r="B46" t="s">
        <v>79</v>
      </c>
      <c r="C46" s="9">
        <v>92200</v>
      </c>
      <c r="D46" s="9">
        <v>45900</v>
      </c>
    </row>
    <row r="47" spans="1:4" x14ac:dyDescent="0.2">
      <c r="A47" t="s">
        <v>124</v>
      </c>
      <c r="B47" t="s">
        <v>82</v>
      </c>
      <c r="C47" s="9">
        <v>84700</v>
      </c>
      <c r="D47" s="9">
        <v>36400</v>
      </c>
    </row>
    <row r="48" spans="1:4" x14ac:dyDescent="0.2">
      <c r="A48" t="s">
        <v>125</v>
      </c>
      <c r="B48" t="s">
        <v>84</v>
      </c>
      <c r="C48" s="9">
        <v>102300</v>
      </c>
      <c r="D48" s="9">
        <v>33000</v>
      </c>
    </row>
    <row r="49" spans="1:4" x14ac:dyDescent="0.2">
      <c r="A49" t="s">
        <v>126</v>
      </c>
      <c r="B49" t="s">
        <v>86</v>
      </c>
      <c r="C49" s="9">
        <v>101600</v>
      </c>
      <c r="D49" s="9">
        <v>50100</v>
      </c>
    </row>
    <row r="50" spans="1:4" x14ac:dyDescent="0.2">
      <c r="A50" s="12" t="s">
        <v>127</v>
      </c>
      <c r="B50" s="12"/>
      <c r="C50" s="13">
        <f>SUM(C5:C44)</f>
        <v>2452400</v>
      </c>
      <c r="D50" s="13">
        <f>SUM(D5:D49)</f>
        <v>1164300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128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105500</v>
      </c>
      <c r="D5" s="9">
        <v>42000</v>
      </c>
    </row>
    <row r="6" spans="1:4" x14ac:dyDescent="0.2">
      <c r="A6" t="s">
        <v>80</v>
      </c>
      <c r="B6" t="s">
        <v>79</v>
      </c>
      <c r="C6" s="9">
        <v>36200</v>
      </c>
      <c r="D6" s="9">
        <v>17100</v>
      </c>
    </row>
    <row r="7" spans="1:4" x14ac:dyDescent="0.2">
      <c r="A7" t="s">
        <v>81</v>
      </c>
      <c r="B7" t="s">
        <v>82</v>
      </c>
      <c r="C7" s="9">
        <v>99800</v>
      </c>
      <c r="D7" s="9">
        <v>50400</v>
      </c>
    </row>
    <row r="8" spans="1:4" x14ac:dyDescent="0.2">
      <c r="A8" t="s">
        <v>83</v>
      </c>
      <c r="B8" t="s">
        <v>84</v>
      </c>
      <c r="C8" s="9">
        <v>76400</v>
      </c>
      <c r="D8" s="9">
        <v>36500</v>
      </c>
    </row>
    <row r="9" spans="1:4" x14ac:dyDescent="0.2">
      <c r="A9" t="s">
        <v>85</v>
      </c>
      <c r="B9" t="s">
        <v>86</v>
      </c>
      <c r="C9" s="9">
        <v>29600</v>
      </c>
      <c r="D9" s="9">
        <v>10000</v>
      </c>
    </row>
    <row r="10" spans="1:4" x14ac:dyDescent="0.2">
      <c r="A10" t="s">
        <v>87</v>
      </c>
      <c r="B10" t="s">
        <v>79</v>
      </c>
      <c r="C10" s="9">
        <v>105600</v>
      </c>
      <c r="D10" s="9">
        <v>43200</v>
      </c>
    </row>
    <row r="11" spans="1:4" x14ac:dyDescent="0.2">
      <c r="A11" t="s">
        <v>88</v>
      </c>
      <c r="B11" t="s">
        <v>79</v>
      </c>
      <c r="C11" s="9">
        <v>66200</v>
      </c>
      <c r="D11" s="9">
        <v>32600</v>
      </c>
    </row>
    <row r="12" spans="1:4" x14ac:dyDescent="0.2">
      <c r="A12" t="s">
        <v>89</v>
      </c>
      <c r="B12" t="s">
        <v>82</v>
      </c>
      <c r="C12" s="9">
        <v>57900</v>
      </c>
      <c r="D12" s="9">
        <v>28700</v>
      </c>
    </row>
    <row r="13" spans="1:4" x14ac:dyDescent="0.2">
      <c r="A13" t="s">
        <v>90</v>
      </c>
      <c r="B13" t="s">
        <v>84</v>
      </c>
      <c r="C13" s="9">
        <v>72600</v>
      </c>
      <c r="D13" s="9">
        <v>23100</v>
      </c>
    </row>
    <row r="14" spans="1:4" x14ac:dyDescent="0.2">
      <c r="A14" t="s">
        <v>91</v>
      </c>
      <c r="B14" t="s">
        <v>86</v>
      </c>
      <c r="C14" s="9">
        <v>95200</v>
      </c>
      <c r="D14" s="9">
        <v>24700</v>
      </c>
    </row>
    <row r="15" spans="1:4" x14ac:dyDescent="0.2">
      <c r="A15" t="s">
        <v>92</v>
      </c>
      <c r="B15" t="s">
        <v>79</v>
      </c>
      <c r="C15" s="9">
        <v>26900</v>
      </c>
      <c r="D15" s="9">
        <v>10700</v>
      </c>
    </row>
    <row r="16" spans="1:4" x14ac:dyDescent="0.2">
      <c r="A16" t="s">
        <v>93</v>
      </c>
      <c r="B16" t="s">
        <v>79</v>
      </c>
      <c r="C16" s="9">
        <v>37600</v>
      </c>
      <c r="D16" s="9">
        <v>9800</v>
      </c>
    </row>
    <row r="17" spans="1:4" x14ac:dyDescent="0.2">
      <c r="A17" t="s">
        <v>94</v>
      </c>
      <c r="B17" t="s">
        <v>82</v>
      </c>
      <c r="C17" s="9">
        <v>45600</v>
      </c>
      <c r="D17" s="9">
        <v>11700</v>
      </c>
    </row>
    <row r="18" spans="1:4" x14ac:dyDescent="0.2">
      <c r="A18" t="s">
        <v>95</v>
      </c>
      <c r="B18" t="s">
        <v>84</v>
      </c>
      <c r="C18" s="9">
        <v>87600</v>
      </c>
      <c r="D18" s="9">
        <v>24600</v>
      </c>
    </row>
    <row r="19" spans="1:4" x14ac:dyDescent="0.2">
      <c r="A19" t="s">
        <v>96</v>
      </c>
      <c r="B19" t="s">
        <v>86</v>
      </c>
      <c r="C19" s="9">
        <v>64500</v>
      </c>
      <c r="D19" s="9">
        <v>21600</v>
      </c>
    </row>
    <row r="20" spans="1:4" x14ac:dyDescent="0.2">
      <c r="A20" t="s">
        <v>97</v>
      </c>
      <c r="B20" t="s">
        <v>79</v>
      </c>
      <c r="C20" s="9">
        <v>45600</v>
      </c>
      <c r="D20" s="9">
        <v>19000</v>
      </c>
    </row>
    <row r="21" spans="1:4" x14ac:dyDescent="0.2">
      <c r="A21" t="s">
        <v>98</v>
      </c>
      <c r="B21" t="s">
        <v>79</v>
      </c>
      <c r="C21" s="9">
        <v>100600</v>
      </c>
      <c r="D21" s="9">
        <v>48300</v>
      </c>
    </row>
    <row r="22" spans="1:4" x14ac:dyDescent="0.2">
      <c r="A22" t="s">
        <v>99</v>
      </c>
      <c r="B22" t="s">
        <v>82</v>
      </c>
      <c r="C22" s="9">
        <v>52700</v>
      </c>
      <c r="D22" s="9">
        <v>22800</v>
      </c>
    </row>
    <row r="23" spans="1:4" x14ac:dyDescent="0.2">
      <c r="A23" t="s">
        <v>100</v>
      </c>
      <c r="B23" t="s">
        <v>84</v>
      </c>
      <c r="C23" s="9">
        <v>23300</v>
      </c>
      <c r="D23" s="9">
        <v>12500</v>
      </c>
    </row>
    <row r="24" spans="1:4" x14ac:dyDescent="0.2">
      <c r="A24" t="s">
        <v>101</v>
      </c>
      <c r="B24" t="s">
        <v>86</v>
      </c>
      <c r="C24" s="9">
        <v>44400</v>
      </c>
      <c r="D24" s="9">
        <v>14000</v>
      </c>
    </row>
    <row r="25" spans="1:4" x14ac:dyDescent="0.2">
      <c r="A25" t="s">
        <v>102</v>
      </c>
      <c r="B25" t="s">
        <v>79</v>
      </c>
      <c r="C25" s="9">
        <v>69300</v>
      </c>
      <c r="D25" s="9">
        <v>27600</v>
      </c>
    </row>
    <row r="26" spans="1:4" x14ac:dyDescent="0.2">
      <c r="A26" t="s">
        <v>103</v>
      </c>
      <c r="B26" t="s">
        <v>79</v>
      </c>
      <c r="C26" s="9">
        <v>61200</v>
      </c>
      <c r="D26" s="9">
        <v>31700</v>
      </c>
    </row>
    <row r="27" spans="1:4" x14ac:dyDescent="0.2">
      <c r="A27" t="s">
        <v>104</v>
      </c>
      <c r="B27" t="s">
        <v>82</v>
      </c>
      <c r="C27" s="9">
        <v>112800</v>
      </c>
      <c r="D27" s="9">
        <v>44300</v>
      </c>
    </row>
    <row r="28" spans="1:4" x14ac:dyDescent="0.2">
      <c r="A28" t="s">
        <v>105</v>
      </c>
      <c r="B28" t="s">
        <v>84</v>
      </c>
      <c r="C28" s="9">
        <v>24500</v>
      </c>
      <c r="D28" s="9">
        <v>9600</v>
      </c>
    </row>
    <row r="29" spans="1:4" x14ac:dyDescent="0.2">
      <c r="A29" t="s">
        <v>106</v>
      </c>
      <c r="B29" t="s">
        <v>86</v>
      </c>
      <c r="C29" s="9">
        <v>67600</v>
      </c>
      <c r="D29" s="9">
        <v>33300</v>
      </c>
    </row>
    <row r="30" spans="1:4" x14ac:dyDescent="0.2">
      <c r="A30" t="s">
        <v>107</v>
      </c>
      <c r="B30" t="s">
        <v>79</v>
      </c>
      <c r="C30" s="9">
        <v>72000</v>
      </c>
      <c r="D30" s="9">
        <v>19900</v>
      </c>
    </row>
    <row r="31" spans="1:4" x14ac:dyDescent="0.2">
      <c r="A31" t="s">
        <v>108</v>
      </c>
      <c r="B31" t="s">
        <v>79</v>
      </c>
      <c r="C31" s="9">
        <v>33300</v>
      </c>
      <c r="D31" s="9">
        <v>16400</v>
      </c>
    </row>
    <row r="32" spans="1:4" x14ac:dyDescent="0.2">
      <c r="A32" t="s">
        <v>109</v>
      </c>
      <c r="B32" t="s">
        <v>82</v>
      </c>
      <c r="C32" s="9">
        <v>54600</v>
      </c>
      <c r="D32" s="9">
        <v>27700</v>
      </c>
    </row>
    <row r="33" spans="1:4" x14ac:dyDescent="0.2">
      <c r="A33" t="s">
        <v>110</v>
      </c>
      <c r="B33" t="s">
        <v>84</v>
      </c>
      <c r="C33" s="9">
        <v>79800</v>
      </c>
      <c r="D33" s="9">
        <v>31100</v>
      </c>
    </row>
    <row r="34" spans="1:4" x14ac:dyDescent="0.2">
      <c r="A34" t="s">
        <v>111</v>
      </c>
      <c r="B34" t="s">
        <v>86</v>
      </c>
      <c r="C34" s="9">
        <v>19600</v>
      </c>
      <c r="D34" s="9">
        <v>9000</v>
      </c>
    </row>
    <row r="35" spans="1:4" x14ac:dyDescent="0.2">
      <c r="A35" t="s">
        <v>112</v>
      </c>
      <c r="B35" t="s">
        <v>79</v>
      </c>
      <c r="C35" s="9">
        <v>38400</v>
      </c>
      <c r="D35" s="9">
        <v>9800</v>
      </c>
    </row>
    <row r="36" spans="1:4" x14ac:dyDescent="0.2">
      <c r="A36" t="s">
        <v>113</v>
      </c>
      <c r="B36" t="s">
        <v>79</v>
      </c>
      <c r="C36" s="9">
        <v>40100</v>
      </c>
      <c r="D36" s="9">
        <v>11900</v>
      </c>
    </row>
    <row r="37" spans="1:4" x14ac:dyDescent="0.2">
      <c r="A37" t="s">
        <v>114</v>
      </c>
      <c r="B37" t="s">
        <v>82</v>
      </c>
      <c r="C37" s="9">
        <v>51100</v>
      </c>
      <c r="D37" s="9">
        <v>15700</v>
      </c>
    </row>
    <row r="38" spans="1:4" x14ac:dyDescent="0.2">
      <c r="A38" t="s">
        <v>115</v>
      </c>
      <c r="B38" t="s">
        <v>84</v>
      </c>
      <c r="C38" s="9">
        <v>59900</v>
      </c>
      <c r="D38" s="9">
        <v>28100</v>
      </c>
    </row>
    <row r="39" spans="1:4" x14ac:dyDescent="0.2">
      <c r="A39" t="s">
        <v>116</v>
      </c>
      <c r="B39" t="s">
        <v>86</v>
      </c>
      <c r="C39" s="9">
        <v>51300</v>
      </c>
      <c r="D39" s="9">
        <v>25700</v>
      </c>
    </row>
    <row r="40" spans="1:4" x14ac:dyDescent="0.2">
      <c r="A40" t="s">
        <v>117</v>
      </c>
      <c r="B40" t="s">
        <v>79</v>
      </c>
      <c r="C40" s="9">
        <v>103500</v>
      </c>
      <c r="D40" s="9">
        <v>50100</v>
      </c>
    </row>
    <row r="41" spans="1:4" x14ac:dyDescent="0.2">
      <c r="A41" t="s">
        <v>118</v>
      </c>
      <c r="B41" t="s">
        <v>79</v>
      </c>
      <c r="C41" s="9">
        <v>104100</v>
      </c>
      <c r="D41" s="9">
        <v>31900</v>
      </c>
    </row>
    <row r="42" spans="1:4" x14ac:dyDescent="0.2">
      <c r="A42" t="s">
        <v>119</v>
      </c>
      <c r="B42" t="s">
        <v>82</v>
      </c>
      <c r="C42" s="9">
        <v>28600</v>
      </c>
      <c r="D42" s="9">
        <v>13900</v>
      </c>
    </row>
    <row r="43" spans="1:4" x14ac:dyDescent="0.2">
      <c r="A43" t="s">
        <v>120</v>
      </c>
      <c r="B43" t="s">
        <v>84</v>
      </c>
      <c r="C43" s="9">
        <v>26300</v>
      </c>
      <c r="D43" s="9">
        <v>8500</v>
      </c>
    </row>
    <row r="44" spans="1:4" x14ac:dyDescent="0.2">
      <c r="A44" t="s">
        <v>121</v>
      </c>
      <c r="B44" t="s">
        <v>86</v>
      </c>
      <c r="C44" s="9">
        <v>76500</v>
      </c>
      <c r="D44" s="9">
        <v>32800</v>
      </c>
    </row>
    <row r="45" spans="1:4" x14ac:dyDescent="0.2">
      <c r="A45" t="s">
        <v>122</v>
      </c>
      <c r="B45" t="s">
        <v>79</v>
      </c>
      <c r="C45" s="9">
        <v>44600</v>
      </c>
      <c r="D45" s="9">
        <v>13000</v>
      </c>
    </row>
    <row r="46" spans="1:4" x14ac:dyDescent="0.2">
      <c r="A46" t="s">
        <v>123</v>
      </c>
      <c r="B46" t="s">
        <v>79</v>
      </c>
      <c r="C46" s="9">
        <v>92200</v>
      </c>
      <c r="D46" s="9">
        <v>45900</v>
      </c>
    </row>
    <row r="47" spans="1:4" x14ac:dyDescent="0.2">
      <c r="A47" t="s">
        <v>124</v>
      </c>
      <c r="B47" t="s">
        <v>82</v>
      </c>
      <c r="C47" s="9">
        <v>92300</v>
      </c>
      <c r="D47" s="9">
        <v>39700</v>
      </c>
    </row>
    <row r="48" spans="1:4" x14ac:dyDescent="0.2">
      <c r="A48" t="s">
        <v>125</v>
      </c>
      <c r="B48" t="s">
        <v>84</v>
      </c>
      <c r="C48" s="9">
        <v>95900</v>
      </c>
      <c r="D48" s="9">
        <v>30900</v>
      </c>
    </row>
    <row r="49" spans="1:4" x14ac:dyDescent="0.2">
      <c r="A49" t="s">
        <v>126</v>
      </c>
      <c r="B49" t="s">
        <v>86</v>
      </c>
      <c r="C49" s="9">
        <v>93700</v>
      </c>
      <c r="D49" s="9">
        <v>46200</v>
      </c>
    </row>
    <row r="50" spans="1:4" x14ac:dyDescent="0.2">
      <c r="A50" s="12" t="s">
        <v>127</v>
      </c>
      <c r="B50" s="12"/>
      <c r="C50" s="13">
        <f>SUM(C5:C44)</f>
        <v>2448300</v>
      </c>
      <c r="D50" s="13">
        <f>SUM(D5:D49)</f>
        <v>1158000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129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112700</v>
      </c>
      <c r="D5" s="9">
        <v>44900</v>
      </c>
    </row>
    <row r="6" spans="1:4" x14ac:dyDescent="0.2">
      <c r="A6" t="s">
        <v>80</v>
      </c>
      <c r="B6" t="s">
        <v>79</v>
      </c>
      <c r="C6" s="9">
        <v>40100</v>
      </c>
      <c r="D6" s="9">
        <v>19000</v>
      </c>
    </row>
    <row r="7" spans="1:4" x14ac:dyDescent="0.2">
      <c r="A7" t="s">
        <v>81</v>
      </c>
      <c r="B7" t="s">
        <v>82</v>
      </c>
      <c r="C7" s="9">
        <v>118800</v>
      </c>
      <c r="D7" s="9">
        <v>60000</v>
      </c>
    </row>
    <row r="8" spans="1:4" x14ac:dyDescent="0.2">
      <c r="A8" t="s">
        <v>83</v>
      </c>
      <c r="B8" t="s">
        <v>84</v>
      </c>
      <c r="C8" s="9">
        <v>93600</v>
      </c>
      <c r="D8" s="9">
        <v>44800</v>
      </c>
    </row>
    <row r="9" spans="1:4" x14ac:dyDescent="0.2">
      <c r="A9" t="s">
        <v>85</v>
      </c>
      <c r="B9" t="s">
        <v>86</v>
      </c>
      <c r="C9" s="9">
        <v>35600</v>
      </c>
      <c r="D9" s="9">
        <v>12000</v>
      </c>
    </row>
    <row r="10" spans="1:4" x14ac:dyDescent="0.2">
      <c r="A10" t="s">
        <v>87</v>
      </c>
      <c r="B10" t="s">
        <v>79</v>
      </c>
      <c r="C10" s="9">
        <v>119300</v>
      </c>
      <c r="D10" s="9">
        <v>48800</v>
      </c>
    </row>
    <row r="11" spans="1:4" x14ac:dyDescent="0.2">
      <c r="A11" t="s">
        <v>88</v>
      </c>
      <c r="B11" t="s">
        <v>79</v>
      </c>
      <c r="C11" s="9">
        <v>77500</v>
      </c>
      <c r="D11" s="9">
        <v>38200</v>
      </c>
    </row>
    <row r="12" spans="1:4" x14ac:dyDescent="0.2">
      <c r="A12" t="s">
        <v>89</v>
      </c>
      <c r="B12" t="s">
        <v>82</v>
      </c>
      <c r="C12" s="9">
        <v>75400</v>
      </c>
      <c r="D12" s="9">
        <v>37400</v>
      </c>
    </row>
    <row r="13" spans="1:4" x14ac:dyDescent="0.2">
      <c r="A13" t="s">
        <v>90</v>
      </c>
      <c r="B13" t="s">
        <v>84</v>
      </c>
      <c r="C13" s="9">
        <v>89700</v>
      </c>
      <c r="D13" s="9">
        <v>28500</v>
      </c>
    </row>
    <row r="14" spans="1:4" x14ac:dyDescent="0.2">
      <c r="A14" t="s">
        <v>91</v>
      </c>
      <c r="B14" t="s">
        <v>86</v>
      </c>
      <c r="C14" s="9">
        <v>106200</v>
      </c>
      <c r="D14" s="9">
        <v>27500</v>
      </c>
    </row>
    <row r="15" spans="1:4" x14ac:dyDescent="0.2">
      <c r="A15" t="s">
        <v>92</v>
      </c>
      <c r="B15" t="s">
        <v>79</v>
      </c>
      <c r="C15" s="9">
        <v>33400</v>
      </c>
      <c r="D15" s="9">
        <v>13300</v>
      </c>
    </row>
    <row r="16" spans="1:4" x14ac:dyDescent="0.2">
      <c r="A16" t="s">
        <v>93</v>
      </c>
      <c r="B16" t="s">
        <v>79</v>
      </c>
      <c r="C16" s="9">
        <v>46000</v>
      </c>
      <c r="D16" s="9">
        <v>12000</v>
      </c>
    </row>
    <row r="17" spans="1:4" x14ac:dyDescent="0.2">
      <c r="A17" t="s">
        <v>94</v>
      </c>
      <c r="B17" t="s">
        <v>82</v>
      </c>
      <c r="C17" s="9">
        <v>53800</v>
      </c>
      <c r="D17" s="9">
        <v>13800</v>
      </c>
    </row>
    <row r="18" spans="1:4" x14ac:dyDescent="0.2">
      <c r="A18" t="s">
        <v>95</v>
      </c>
      <c r="B18" t="s">
        <v>84</v>
      </c>
      <c r="C18" s="9">
        <v>94300</v>
      </c>
      <c r="D18" s="9">
        <v>26500</v>
      </c>
    </row>
    <row r="19" spans="1:4" x14ac:dyDescent="0.2">
      <c r="A19" t="s">
        <v>96</v>
      </c>
      <c r="B19" t="s">
        <v>86</v>
      </c>
      <c r="C19" s="9">
        <v>71600</v>
      </c>
      <c r="D19" s="9">
        <v>24000</v>
      </c>
    </row>
    <row r="20" spans="1:4" x14ac:dyDescent="0.2">
      <c r="A20" t="s">
        <v>97</v>
      </c>
      <c r="B20" t="s">
        <v>79</v>
      </c>
      <c r="C20" s="9">
        <v>51600</v>
      </c>
      <c r="D20" s="9">
        <v>21500</v>
      </c>
    </row>
    <row r="21" spans="1:4" x14ac:dyDescent="0.2">
      <c r="A21" t="s">
        <v>98</v>
      </c>
      <c r="B21" t="s">
        <v>79</v>
      </c>
      <c r="C21" s="9">
        <v>116700</v>
      </c>
      <c r="D21" s="9">
        <v>56100</v>
      </c>
    </row>
    <row r="22" spans="1:4" x14ac:dyDescent="0.2">
      <c r="A22" t="s">
        <v>99</v>
      </c>
      <c r="B22" t="s">
        <v>82</v>
      </c>
      <c r="C22" s="9">
        <v>56700</v>
      </c>
      <c r="D22" s="9">
        <v>24500</v>
      </c>
    </row>
    <row r="23" spans="1:4" x14ac:dyDescent="0.2">
      <c r="A23" t="s">
        <v>100</v>
      </c>
      <c r="B23" t="s">
        <v>84</v>
      </c>
      <c r="C23" s="9">
        <v>26500</v>
      </c>
      <c r="D23" s="9">
        <v>14300</v>
      </c>
    </row>
    <row r="24" spans="1:4" x14ac:dyDescent="0.2">
      <c r="A24" t="s">
        <v>101</v>
      </c>
      <c r="B24" t="s">
        <v>86</v>
      </c>
      <c r="C24" s="9">
        <v>51900</v>
      </c>
      <c r="D24" s="9">
        <v>16400</v>
      </c>
    </row>
    <row r="25" spans="1:4" x14ac:dyDescent="0.2">
      <c r="A25" t="s">
        <v>102</v>
      </c>
      <c r="B25" t="s">
        <v>79</v>
      </c>
      <c r="C25" s="9">
        <v>79400</v>
      </c>
      <c r="D25" s="9">
        <v>31600</v>
      </c>
    </row>
    <row r="26" spans="1:4" x14ac:dyDescent="0.2">
      <c r="A26" t="s">
        <v>103</v>
      </c>
      <c r="B26" t="s">
        <v>79</v>
      </c>
      <c r="C26" s="9">
        <v>65400</v>
      </c>
      <c r="D26" s="9">
        <v>33900</v>
      </c>
    </row>
    <row r="27" spans="1:4" x14ac:dyDescent="0.2">
      <c r="A27" t="s">
        <v>104</v>
      </c>
      <c r="B27" t="s">
        <v>82</v>
      </c>
      <c r="C27" s="9">
        <v>116500</v>
      </c>
      <c r="D27" s="9">
        <v>45700</v>
      </c>
    </row>
    <row r="28" spans="1:4" x14ac:dyDescent="0.2">
      <c r="A28" t="s">
        <v>105</v>
      </c>
      <c r="B28" t="s">
        <v>84</v>
      </c>
      <c r="C28" s="9">
        <v>30800</v>
      </c>
      <c r="D28" s="9">
        <v>12100</v>
      </c>
    </row>
    <row r="29" spans="1:4" x14ac:dyDescent="0.2">
      <c r="A29" t="s">
        <v>106</v>
      </c>
      <c r="B29" t="s">
        <v>86</v>
      </c>
      <c r="C29" s="9">
        <v>78700</v>
      </c>
      <c r="D29" s="9">
        <v>38700</v>
      </c>
    </row>
    <row r="30" spans="1:4" x14ac:dyDescent="0.2">
      <c r="A30" t="s">
        <v>107</v>
      </c>
      <c r="B30" t="s">
        <v>79</v>
      </c>
      <c r="C30" s="9">
        <v>81000</v>
      </c>
      <c r="D30" s="9">
        <v>22400</v>
      </c>
    </row>
    <row r="31" spans="1:4" x14ac:dyDescent="0.2">
      <c r="A31" t="s">
        <v>108</v>
      </c>
      <c r="B31" t="s">
        <v>79</v>
      </c>
      <c r="C31" s="9">
        <v>38800</v>
      </c>
      <c r="D31" s="9">
        <v>19100</v>
      </c>
    </row>
    <row r="32" spans="1:4" x14ac:dyDescent="0.2">
      <c r="A32" t="s">
        <v>109</v>
      </c>
      <c r="B32" t="s">
        <v>82</v>
      </c>
      <c r="C32" s="9">
        <v>69100</v>
      </c>
      <c r="D32" s="9">
        <v>35100</v>
      </c>
    </row>
    <row r="33" spans="1:4" x14ac:dyDescent="0.2">
      <c r="A33" t="s">
        <v>110</v>
      </c>
      <c r="B33" t="s">
        <v>84</v>
      </c>
      <c r="C33" s="9">
        <v>95200</v>
      </c>
      <c r="D33" s="9">
        <v>37100</v>
      </c>
    </row>
    <row r="34" spans="1:4" x14ac:dyDescent="0.2">
      <c r="A34" t="s">
        <v>111</v>
      </c>
      <c r="B34" t="s">
        <v>86</v>
      </c>
      <c r="C34" s="9">
        <v>21800</v>
      </c>
      <c r="D34" s="9">
        <v>10000</v>
      </c>
    </row>
    <row r="35" spans="1:4" x14ac:dyDescent="0.2">
      <c r="A35" t="s">
        <v>112</v>
      </c>
      <c r="B35" t="s">
        <v>79</v>
      </c>
      <c r="C35" s="9">
        <v>43800</v>
      </c>
      <c r="D35" s="9">
        <v>11100</v>
      </c>
    </row>
    <row r="36" spans="1:4" x14ac:dyDescent="0.2">
      <c r="A36" t="s">
        <v>113</v>
      </c>
      <c r="B36" t="s">
        <v>79</v>
      </c>
      <c r="C36" s="9">
        <v>48400</v>
      </c>
      <c r="D36" s="9">
        <v>14300</v>
      </c>
    </row>
    <row r="37" spans="1:4" x14ac:dyDescent="0.2">
      <c r="A37" t="s">
        <v>114</v>
      </c>
      <c r="B37" t="s">
        <v>82</v>
      </c>
      <c r="C37" s="9">
        <v>61100</v>
      </c>
      <c r="D37" s="9">
        <v>18700</v>
      </c>
    </row>
    <row r="38" spans="1:4" x14ac:dyDescent="0.2">
      <c r="A38" t="s">
        <v>115</v>
      </c>
      <c r="B38" t="s">
        <v>84</v>
      </c>
      <c r="C38" s="9">
        <v>73500</v>
      </c>
      <c r="D38" s="9">
        <v>34500</v>
      </c>
    </row>
    <row r="39" spans="1:4" x14ac:dyDescent="0.2">
      <c r="A39" t="s">
        <v>116</v>
      </c>
      <c r="B39" t="s">
        <v>86</v>
      </c>
      <c r="C39" s="9">
        <v>55300</v>
      </c>
      <c r="D39" s="9">
        <v>27700</v>
      </c>
    </row>
    <row r="40" spans="1:4" x14ac:dyDescent="0.2">
      <c r="A40" t="s">
        <v>117</v>
      </c>
      <c r="B40" t="s">
        <v>79</v>
      </c>
      <c r="C40" s="9">
        <v>112900</v>
      </c>
      <c r="D40" s="9">
        <v>54700</v>
      </c>
    </row>
    <row r="41" spans="1:4" x14ac:dyDescent="0.2">
      <c r="A41" t="s">
        <v>118</v>
      </c>
      <c r="B41" t="s">
        <v>79</v>
      </c>
      <c r="C41" s="9">
        <v>118900</v>
      </c>
      <c r="D41" s="9">
        <v>36400</v>
      </c>
    </row>
    <row r="42" spans="1:4" x14ac:dyDescent="0.2">
      <c r="A42" t="s">
        <v>119</v>
      </c>
      <c r="B42" t="s">
        <v>82</v>
      </c>
      <c r="C42" s="9">
        <v>31900</v>
      </c>
      <c r="D42" s="9">
        <v>15500</v>
      </c>
    </row>
    <row r="43" spans="1:4" x14ac:dyDescent="0.2">
      <c r="A43" t="s">
        <v>120</v>
      </c>
      <c r="B43" t="s">
        <v>84</v>
      </c>
      <c r="C43" s="9">
        <v>29600</v>
      </c>
      <c r="D43" s="9">
        <v>9500</v>
      </c>
    </row>
    <row r="44" spans="1:4" x14ac:dyDescent="0.2">
      <c r="A44" t="s">
        <v>121</v>
      </c>
      <c r="B44" t="s">
        <v>86</v>
      </c>
      <c r="C44" s="9">
        <v>89500</v>
      </c>
      <c r="D44" s="9">
        <v>38400</v>
      </c>
    </row>
    <row r="45" spans="1:4" x14ac:dyDescent="0.2">
      <c r="A45" t="s">
        <v>122</v>
      </c>
      <c r="B45" t="s">
        <v>79</v>
      </c>
      <c r="C45" s="9">
        <v>54600</v>
      </c>
      <c r="D45" s="9">
        <v>15900</v>
      </c>
    </row>
    <row r="46" spans="1:4" x14ac:dyDescent="0.2">
      <c r="A46" t="s">
        <v>123</v>
      </c>
      <c r="B46" t="s">
        <v>79</v>
      </c>
      <c r="C46" s="9">
        <v>115200</v>
      </c>
      <c r="D46" s="9">
        <v>57400</v>
      </c>
    </row>
    <row r="47" spans="1:4" x14ac:dyDescent="0.2">
      <c r="A47" t="s">
        <v>124</v>
      </c>
      <c r="B47" t="s">
        <v>82</v>
      </c>
      <c r="C47" s="9">
        <v>105400</v>
      </c>
      <c r="D47" s="9">
        <v>45300</v>
      </c>
    </row>
    <row r="48" spans="1:4" x14ac:dyDescent="0.2">
      <c r="A48" t="s">
        <v>125</v>
      </c>
      <c r="B48" t="s">
        <v>84</v>
      </c>
      <c r="C48" s="9">
        <v>102900</v>
      </c>
      <c r="D48" s="9">
        <v>33200</v>
      </c>
    </row>
    <row r="49" spans="1:4" x14ac:dyDescent="0.2">
      <c r="A49" t="s">
        <v>126</v>
      </c>
      <c r="B49" t="s">
        <v>86</v>
      </c>
      <c r="C49" s="9">
        <v>105300</v>
      </c>
      <c r="D49" s="9">
        <v>51900</v>
      </c>
    </row>
    <row r="50" spans="1:4" x14ac:dyDescent="0.2">
      <c r="A50" s="12" t="s">
        <v>127</v>
      </c>
      <c r="B50" s="12"/>
      <c r="C50" s="13">
        <f>SUM(C5:C44)</f>
        <v>2813000</v>
      </c>
      <c r="D50" s="13">
        <f>SUM(D5:D49)</f>
        <v>1333700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130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110100</v>
      </c>
      <c r="D5" s="9">
        <v>43800</v>
      </c>
    </row>
    <row r="6" spans="1:4" x14ac:dyDescent="0.2">
      <c r="A6" t="s">
        <v>80</v>
      </c>
      <c r="B6" t="s">
        <v>79</v>
      </c>
      <c r="C6" s="9">
        <v>38400</v>
      </c>
      <c r="D6" s="9">
        <v>18200</v>
      </c>
    </row>
    <row r="7" spans="1:4" x14ac:dyDescent="0.2">
      <c r="A7" t="s">
        <v>81</v>
      </c>
      <c r="B7" t="s">
        <v>82</v>
      </c>
      <c r="C7" s="9">
        <v>111000</v>
      </c>
      <c r="D7" s="9">
        <v>56000</v>
      </c>
    </row>
    <row r="8" spans="1:4" x14ac:dyDescent="0.2">
      <c r="A8" t="s">
        <v>83</v>
      </c>
      <c r="B8" t="s">
        <v>84</v>
      </c>
      <c r="C8" s="9">
        <v>82900</v>
      </c>
      <c r="D8" s="9">
        <v>39600</v>
      </c>
    </row>
    <row r="9" spans="1:4" x14ac:dyDescent="0.2">
      <c r="A9" t="s">
        <v>85</v>
      </c>
      <c r="B9" t="s">
        <v>86</v>
      </c>
      <c r="C9" s="9">
        <v>35500</v>
      </c>
      <c r="D9" s="9">
        <v>11900</v>
      </c>
    </row>
    <row r="10" spans="1:4" x14ac:dyDescent="0.2">
      <c r="A10" t="s">
        <v>87</v>
      </c>
      <c r="B10" t="s">
        <v>79</v>
      </c>
      <c r="C10" s="9">
        <v>107900</v>
      </c>
      <c r="D10" s="9">
        <v>44200</v>
      </c>
    </row>
    <row r="11" spans="1:4" x14ac:dyDescent="0.2">
      <c r="A11" t="s">
        <v>88</v>
      </c>
      <c r="B11" t="s">
        <v>79</v>
      </c>
      <c r="C11" s="9">
        <v>64400</v>
      </c>
      <c r="D11" s="9">
        <v>31700</v>
      </c>
    </row>
    <row r="12" spans="1:4" x14ac:dyDescent="0.2">
      <c r="A12" t="s">
        <v>89</v>
      </c>
      <c r="B12" t="s">
        <v>82</v>
      </c>
      <c r="C12" s="9">
        <v>62300</v>
      </c>
      <c r="D12" s="9">
        <v>30900</v>
      </c>
    </row>
    <row r="13" spans="1:4" x14ac:dyDescent="0.2">
      <c r="A13" t="s">
        <v>90</v>
      </c>
      <c r="B13" t="s">
        <v>84</v>
      </c>
      <c r="C13" s="9">
        <v>79300</v>
      </c>
      <c r="D13" s="9">
        <v>25200</v>
      </c>
    </row>
    <row r="14" spans="1:4" x14ac:dyDescent="0.2">
      <c r="A14" t="s">
        <v>91</v>
      </c>
      <c r="B14" t="s">
        <v>86</v>
      </c>
      <c r="C14" s="9">
        <v>94700</v>
      </c>
      <c r="D14" s="9">
        <v>24600</v>
      </c>
    </row>
    <row r="15" spans="1:4" x14ac:dyDescent="0.2">
      <c r="A15" t="s">
        <v>92</v>
      </c>
      <c r="B15" t="s">
        <v>79</v>
      </c>
      <c r="C15" s="9">
        <v>30300</v>
      </c>
      <c r="D15" s="9">
        <v>12100</v>
      </c>
    </row>
    <row r="16" spans="1:4" x14ac:dyDescent="0.2">
      <c r="A16" t="s">
        <v>93</v>
      </c>
      <c r="B16" t="s">
        <v>79</v>
      </c>
      <c r="C16" s="9">
        <v>39000</v>
      </c>
      <c r="D16" s="9">
        <v>10100</v>
      </c>
    </row>
    <row r="17" spans="1:4" x14ac:dyDescent="0.2">
      <c r="A17" t="s">
        <v>94</v>
      </c>
      <c r="B17" t="s">
        <v>82</v>
      </c>
      <c r="C17" s="9">
        <v>45800</v>
      </c>
      <c r="D17" s="9">
        <v>11700</v>
      </c>
    </row>
    <row r="18" spans="1:4" x14ac:dyDescent="0.2">
      <c r="A18" t="s">
        <v>95</v>
      </c>
      <c r="B18" t="s">
        <v>84</v>
      </c>
      <c r="C18" s="9">
        <v>93900</v>
      </c>
      <c r="D18" s="9">
        <v>26400</v>
      </c>
    </row>
    <row r="19" spans="1:4" x14ac:dyDescent="0.2">
      <c r="A19" t="s">
        <v>96</v>
      </c>
      <c r="B19" t="s">
        <v>86</v>
      </c>
      <c r="C19" s="9">
        <v>63800</v>
      </c>
      <c r="D19" s="9">
        <v>21400</v>
      </c>
    </row>
    <row r="20" spans="1:4" x14ac:dyDescent="0.2">
      <c r="A20" t="s">
        <v>97</v>
      </c>
      <c r="B20" t="s">
        <v>79</v>
      </c>
      <c r="C20" s="9">
        <v>50600</v>
      </c>
      <c r="D20" s="9">
        <v>21000</v>
      </c>
    </row>
    <row r="21" spans="1:4" x14ac:dyDescent="0.2">
      <c r="A21" t="s">
        <v>98</v>
      </c>
      <c r="B21" t="s">
        <v>79</v>
      </c>
      <c r="C21" s="9">
        <v>108800</v>
      </c>
      <c r="D21" s="9">
        <v>52300</v>
      </c>
    </row>
    <row r="22" spans="1:4" x14ac:dyDescent="0.2">
      <c r="A22" t="s">
        <v>99</v>
      </c>
      <c r="B22" t="s">
        <v>82</v>
      </c>
      <c r="C22" s="9">
        <v>49800</v>
      </c>
      <c r="D22" s="9">
        <v>21500</v>
      </c>
    </row>
    <row r="23" spans="1:4" x14ac:dyDescent="0.2">
      <c r="A23" t="s">
        <v>100</v>
      </c>
      <c r="B23" t="s">
        <v>84</v>
      </c>
      <c r="C23" s="9">
        <v>27500</v>
      </c>
      <c r="D23" s="9">
        <v>14800</v>
      </c>
    </row>
    <row r="24" spans="1:4" x14ac:dyDescent="0.2">
      <c r="A24" t="s">
        <v>101</v>
      </c>
      <c r="B24" t="s">
        <v>86</v>
      </c>
      <c r="C24" s="9">
        <v>44000</v>
      </c>
      <c r="D24" s="9">
        <v>13900</v>
      </c>
    </row>
    <row r="25" spans="1:4" x14ac:dyDescent="0.2">
      <c r="A25" t="s">
        <v>102</v>
      </c>
      <c r="B25" t="s">
        <v>79</v>
      </c>
      <c r="C25" s="9">
        <v>71200</v>
      </c>
      <c r="D25" s="9">
        <v>28300</v>
      </c>
    </row>
    <row r="26" spans="1:4" x14ac:dyDescent="0.2">
      <c r="A26" t="s">
        <v>103</v>
      </c>
      <c r="B26" t="s">
        <v>79</v>
      </c>
      <c r="C26" s="9">
        <v>64200</v>
      </c>
      <c r="D26" s="9">
        <v>33200</v>
      </c>
    </row>
    <row r="27" spans="1:4" x14ac:dyDescent="0.2">
      <c r="A27" t="s">
        <v>104</v>
      </c>
      <c r="B27" t="s">
        <v>82</v>
      </c>
      <c r="C27" s="9">
        <v>121900</v>
      </c>
      <c r="D27" s="9">
        <v>47900</v>
      </c>
    </row>
    <row r="28" spans="1:4" x14ac:dyDescent="0.2">
      <c r="A28" t="s">
        <v>105</v>
      </c>
      <c r="B28" t="s">
        <v>84</v>
      </c>
      <c r="C28" s="9">
        <v>28100</v>
      </c>
      <c r="D28" s="9">
        <v>11000</v>
      </c>
    </row>
    <row r="29" spans="1:4" x14ac:dyDescent="0.2">
      <c r="A29" t="s">
        <v>106</v>
      </c>
      <c r="B29" t="s">
        <v>86</v>
      </c>
      <c r="C29" s="9">
        <v>75700</v>
      </c>
      <c r="D29" s="9">
        <v>37200</v>
      </c>
    </row>
    <row r="30" spans="1:4" x14ac:dyDescent="0.2">
      <c r="A30" t="s">
        <v>107</v>
      </c>
      <c r="B30" t="s">
        <v>79</v>
      </c>
      <c r="C30" s="9">
        <v>71300</v>
      </c>
      <c r="D30" s="9">
        <v>19700</v>
      </c>
    </row>
    <row r="31" spans="1:4" x14ac:dyDescent="0.2">
      <c r="A31" t="s">
        <v>108</v>
      </c>
      <c r="B31" t="s">
        <v>79</v>
      </c>
      <c r="C31" s="9">
        <v>35500</v>
      </c>
      <c r="D31" s="9">
        <v>17500</v>
      </c>
    </row>
    <row r="32" spans="1:4" x14ac:dyDescent="0.2">
      <c r="A32" t="s">
        <v>109</v>
      </c>
      <c r="B32" t="s">
        <v>82</v>
      </c>
      <c r="C32" s="9">
        <v>60900</v>
      </c>
      <c r="D32" s="9">
        <v>30900</v>
      </c>
    </row>
    <row r="33" spans="1:4" x14ac:dyDescent="0.2">
      <c r="A33" t="s">
        <v>110</v>
      </c>
      <c r="B33" t="s">
        <v>84</v>
      </c>
      <c r="C33" s="9">
        <v>84400</v>
      </c>
      <c r="D33" s="9">
        <v>32800</v>
      </c>
    </row>
    <row r="34" spans="1:4" x14ac:dyDescent="0.2">
      <c r="A34" t="s">
        <v>111</v>
      </c>
      <c r="B34" t="s">
        <v>86</v>
      </c>
      <c r="C34" s="9">
        <v>20000</v>
      </c>
      <c r="D34" s="9">
        <v>9200</v>
      </c>
    </row>
    <row r="35" spans="1:4" x14ac:dyDescent="0.2">
      <c r="A35" t="s">
        <v>112</v>
      </c>
      <c r="B35" t="s">
        <v>79</v>
      </c>
      <c r="C35" s="9">
        <v>43000</v>
      </c>
      <c r="D35" s="9">
        <v>10900</v>
      </c>
    </row>
    <row r="36" spans="1:4" x14ac:dyDescent="0.2">
      <c r="A36" t="s">
        <v>113</v>
      </c>
      <c r="B36" t="s">
        <v>79</v>
      </c>
      <c r="C36" s="9">
        <v>42200</v>
      </c>
      <c r="D36" s="9">
        <v>12500</v>
      </c>
    </row>
    <row r="37" spans="1:4" x14ac:dyDescent="0.2">
      <c r="A37" t="s">
        <v>114</v>
      </c>
      <c r="B37" t="s">
        <v>82</v>
      </c>
      <c r="C37" s="9">
        <v>57800</v>
      </c>
      <c r="D37" s="9">
        <v>17700</v>
      </c>
    </row>
    <row r="38" spans="1:4" x14ac:dyDescent="0.2">
      <c r="A38" t="s">
        <v>115</v>
      </c>
      <c r="B38" t="s">
        <v>84</v>
      </c>
      <c r="C38" s="9">
        <v>66100</v>
      </c>
      <c r="D38" s="9">
        <v>31000</v>
      </c>
    </row>
    <row r="39" spans="1:4" x14ac:dyDescent="0.2">
      <c r="A39" t="s">
        <v>116</v>
      </c>
      <c r="B39" t="s">
        <v>86</v>
      </c>
      <c r="C39" s="9">
        <v>48800</v>
      </c>
      <c r="D39" s="9">
        <v>24400</v>
      </c>
    </row>
    <row r="40" spans="1:4" x14ac:dyDescent="0.2">
      <c r="A40" t="s">
        <v>117</v>
      </c>
      <c r="B40" t="s">
        <v>79</v>
      </c>
      <c r="C40" s="9">
        <v>111500</v>
      </c>
      <c r="D40" s="9">
        <v>54000</v>
      </c>
    </row>
    <row r="41" spans="1:4" x14ac:dyDescent="0.2">
      <c r="A41" t="s">
        <v>118</v>
      </c>
      <c r="B41" t="s">
        <v>79</v>
      </c>
      <c r="C41" s="9">
        <v>105600</v>
      </c>
      <c r="D41" s="9">
        <v>32300</v>
      </c>
    </row>
    <row r="42" spans="1:4" x14ac:dyDescent="0.2">
      <c r="A42" t="s">
        <v>119</v>
      </c>
      <c r="B42" t="s">
        <v>82</v>
      </c>
      <c r="C42" s="9">
        <v>30300</v>
      </c>
      <c r="D42" s="9">
        <v>14800</v>
      </c>
    </row>
    <row r="43" spans="1:4" x14ac:dyDescent="0.2">
      <c r="A43" t="s">
        <v>120</v>
      </c>
      <c r="B43" t="s">
        <v>84</v>
      </c>
      <c r="C43" s="9">
        <v>29000</v>
      </c>
      <c r="D43" s="9">
        <v>9400</v>
      </c>
    </row>
    <row r="44" spans="1:4" x14ac:dyDescent="0.2">
      <c r="A44" t="s">
        <v>121</v>
      </c>
      <c r="B44" t="s">
        <v>86</v>
      </c>
      <c r="C44" s="9">
        <v>81000</v>
      </c>
      <c r="D44" s="9">
        <v>34700</v>
      </c>
    </row>
    <row r="45" spans="1:4" x14ac:dyDescent="0.2">
      <c r="A45" t="s">
        <v>122</v>
      </c>
      <c r="B45" t="s">
        <v>79</v>
      </c>
      <c r="C45" s="9">
        <v>48000</v>
      </c>
      <c r="D45" s="9">
        <v>14000</v>
      </c>
    </row>
    <row r="46" spans="1:4" x14ac:dyDescent="0.2">
      <c r="A46" t="s">
        <v>123</v>
      </c>
      <c r="B46" t="s">
        <v>79</v>
      </c>
      <c r="C46" s="9">
        <v>99600</v>
      </c>
      <c r="D46" s="9">
        <v>49600</v>
      </c>
    </row>
    <row r="47" spans="1:4" x14ac:dyDescent="0.2">
      <c r="A47" t="s">
        <v>124</v>
      </c>
      <c r="B47" t="s">
        <v>82</v>
      </c>
      <c r="C47" s="9">
        <v>87900</v>
      </c>
      <c r="D47" s="9">
        <v>37800</v>
      </c>
    </row>
    <row r="48" spans="1:4" x14ac:dyDescent="0.2">
      <c r="A48" t="s">
        <v>125</v>
      </c>
      <c r="B48" t="s">
        <v>84</v>
      </c>
      <c r="C48" s="9">
        <v>100400</v>
      </c>
      <c r="D48" s="9">
        <v>32400</v>
      </c>
    </row>
    <row r="49" spans="1:4" x14ac:dyDescent="0.2">
      <c r="A49" t="s">
        <v>126</v>
      </c>
      <c r="B49" t="s">
        <v>86</v>
      </c>
      <c r="C49" s="9">
        <v>107000</v>
      </c>
      <c r="D49" s="9">
        <v>52800</v>
      </c>
    </row>
    <row r="50" spans="1:4" x14ac:dyDescent="0.2">
      <c r="A50" s="12" t="s">
        <v>127</v>
      </c>
      <c r="B50" s="12"/>
      <c r="C50" s="13">
        <f>SUM(C5:C44)</f>
        <v>2588500</v>
      </c>
      <c r="D50" s="13">
        <f>SUM(D5:D49)</f>
        <v>1227300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131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114300</v>
      </c>
      <c r="D5" s="9">
        <v>45500</v>
      </c>
    </row>
    <row r="6" spans="1:4" x14ac:dyDescent="0.2">
      <c r="A6" t="s">
        <v>80</v>
      </c>
      <c r="B6" t="s">
        <v>79</v>
      </c>
      <c r="C6" s="9">
        <v>37600</v>
      </c>
      <c r="D6" s="9">
        <v>17800</v>
      </c>
    </row>
    <row r="7" spans="1:4" x14ac:dyDescent="0.2">
      <c r="A7" t="s">
        <v>81</v>
      </c>
      <c r="B7" t="s">
        <v>82</v>
      </c>
      <c r="C7" s="9">
        <v>111900</v>
      </c>
      <c r="D7" s="9">
        <v>56500</v>
      </c>
    </row>
    <row r="8" spans="1:4" x14ac:dyDescent="0.2">
      <c r="A8" t="s">
        <v>83</v>
      </c>
      <c r="B8" t="s">
        <v>84</v>
      </c>
      <c r="C8" s="9">
        <v>85700</v>
      </c>
      <c r="D8" s="9">
        <v>41000</v>
      </c>
    </row>
    <row r="9" spans="1:4" x14ac:dyDescent="0.2">
      <c r="A9" t="s">
        <v>85</v>
      </c>
      <c r="B9" t="s">
        <v>86</v>
      </c>
      <c r="C9" s="9">
        <v>34400</v>
      </c>
      <c r="D9" s="9">
        <v>11600</v>
      </c>
    </row>
    <row r="10" spans="1:4" x14ac:dyDescent="0.2">
      <c r="A10" t="s">
        <v>87</v>
      </c>
      <c r="B10" t="s">
        <v>79</v>
      </c>
      <c r="C10" s="9">
        <v>113300</v>
      </c>
      <c r="D10" s="9">
        <v>46400</v>
      </c>
    </row>
    <row r="11" spans="1:4" x14ac:dyDescent="0.2">
      <c r="A11" t="s">
        <v>88</v>
      </c>
      <c r="B11" t="s">
        <v>79</v>
      </c>
      <c r="C11" s="9">
        <v>68100</v>
      </c>
      <c r="D11" s="9">
        <v>33500</v>
      </c>
    </row>
    <row r="12" spans="1:4" x14ac:dyDescent="0.2">
      <c r="A12" t="s">
        <v>89</v>
      </c>
      <c r="B12" t="s">
        <v>82</v>
      </c>
      <c r="C12" s="9">
        <v>68000</v>
      </c>
      <c r="D12" s="9">
        <v>33700</v>
      </c>
    </row>
    <row r="13" spans="1:4" x14ac:dyDescent="0.2">
      <c r="A13" t="s">
        <v>90</v>
      </c>
      <c r="B13" t="s">
        <v>84</v>
      </c>
      <c r="C13" s="9">
        <v>85200</v>
      </c>
      <c r="D13" s="9">
        <v>27100</v>
      </c>
    </row>
    <row r="14" spans="1:4" x14ac:dyDescent="0.2">
      <c r="A14" t="s">
        <v>91</v>
      </c>
      <c r="B14" t="s">
        <v>86</v>
      </c>
      <c r="C14" s="9">
        <v>100300</v>
      </c>
      <c r="D14" s="9">
        <v>26000</v>
      </c>
    </row>
    <row r="15" spans="1:4" x14ac:dyDescent="0.2">
      <c r="A15" t="s">
        <v>92</v>
      </c>
      <c r="B15" t="s">
        <v>79</v>
      </c>
      <c r="C15" s="9">
        <v>30000</v>
      </c>
      <c r="D15" s="9">
        <v>12000</v>
      </c>
    </row>
    <row r="16" spans="1:4" x14ac:dyDescent="0.2">
      <c r="A16" t="s">
        <v>93</v>
      </c>
      <c r="B16" t="s">
        <v>79</v>
      </c>
      <c r="C16" s="9">
        <v>38700</v>
      </c>
      <c r="D16" s="9">
        <v>10100</v>
      </c>
    </row>
    <row r="17" spans="1:4" x14ac:dyDescent="0.2">
      <c r="A17" t="s">
        <v>94</v>
      </c>
      <c r="B17" t="s">
        <v>82</v>
      </c>
      <c r="C17" s="9">
        <v>48100</v>
      </c>
      <c r="D17" s="9">
        <v>12300</v>
      </c>
    </row>
    <row r="18" spans="1:4" x14ac:dyDescent="0.2">
      <c r="A18" t="s">
        <v>95</v>
      </c>
      <c r="B18" t="s">
        <v>84</v>
      </c>
      <c r="C18" s="9">
        <v>89000</v>
      </c>
      <c r="D18" s="9">
        <v>25000</v>
      </c>
    </row>
    <row r="19" spans="1:4" x14ac:dyDescent="0.2">
      <c r="A19" t="s">
        <v>96</v>
      </c>
      <c r="B19" t="s">
        <v>86</v>
      </c>
      <c r="C19" s="9">
        <v>63500</v>
      </c>
      <c r="D19" s="9">
        <v>21300</v>
      </c>
    </row>
    <row r="20" spans="1:4" x14ac:dyDescent="0.2">
      <c r="A20" t="s">
        <v>97</v>
      </c>
      <c r="B20" t="s">
        <v>79</v>
      </c>
      <c r="C20" s="9">
        <v>50600</v>
      </c>
      <c r="D20" s="9">
        <v>21000</v>
      </c>
    </row>
    <row r="21" spans="1:4" x14ac:dyDescent="0.2">
      <c r="A21" t="s">
        <v>98</v>
      </c>
      <c r="B21" t="s">
        <v>79</v>
      </c>
      <c r="C21" s="9">
        <v>109500</v>
      </c>
      <c r="D21" s="9">
        <v>52600</v>
      </c>
    </row>
    <row r="22" spans="1:4" x14ac:dyDescent="0.2">
      <c r="A22" t="s">
        <v>99</v>
      </c>
      <c r="B22" t="s">
        <v>82</v>
      </c>
      <c r="C22" s="9">
        <v>53700</v>
      </c>
      <c r="D22" s="9">
        <v>23200</v>
      </c>
    </row>
    <row r="23" spans="1:4" x14ac:dyDescent="0.2">
      <c r="A23" t="s">
        <v>100</v>
      </c>
      <c r="B23" t="s">
        <v>84</v>
      </c>
      <c r="C23" s="9">
        <v>25500</v>
      </c>
      <c r="D23" s="9">
        <v>13700</v>
      </c>
    </row>
    <row r="24" spans="1:4" x14ac:dyDescent="0.2">
      <c r="A24" t="s">
        <v>101</v>
      </c>
      <c r="B24" t="s">
        <v>86</v>
      </c>
      <c r="C24" s="9">
        <v>46700</v>
      </c>
      <c r="D24" s="9">
        <v>14800</v>
      </c>
    </row>
    <row r="25" spans="1:4" x14ac:dyDescent="0.2">
      <c r="A25" t="s">
        <v>102</v>
      </c>
      <c r="B25" t="s">
        <v>79</v>
      </c>
      <c r="C25" s="9">
        <v>71700</v>
      </c>
      <c r="D25" s="9">
        <v>28500</v>
      </c>
    </row>
    <row r="26" spans="1:4" x14ac:dyDescent="0.2">
      <c r="A26" t="s">
        <v>103</v>
      </c>
      <c r="B26" t="s">
        <v>79</v>
      </c>
      <c r="C26" s="9">
        <v>62000</v>
      </c>
      <c r="D26" s="9">
        <v>32100</v>
      </c>
    </row>
    <row r="27" spans="1:4" x14ac:dyDescent="0.2">
      <c r="A27" t="s">
        <v>104</v>
      </c>
      <c r="B27" t="s">
        <v>82</v>
      </c>
      <c r="C27" s="9">
        <v>109400</v>
      </c>
      <c r="D27" s="9">
        <v>42900</v>
      </c>
    </row>
    <row r="28" spans="1:4" x14ac:dyDescent="0.2">
      <c r="A28" t="s">
        <v>105</v>
      </c>
      <c r="B28" t="s">
        <v>84</v>
      </c>
      <c r="C28" s="9">
        <v>29900</v>
      </c>
      <c r="D28" s="9">
        <v>11700</v>
      </c>
    </row>
    <row r="29" spans="1:4" x14ac:dyDescent="0.2">
      <c r="A29" t="s">
        <v>106</v>
      </c>
      <c r="B29" t="s">
        <v>86</v>
      </c>
      <c r="C29" s="9">
        <v>78500</v>
      </c>
      <c r="D29" s="9">
        <v>38600</v>
      </c>
    </row>
    <row r="30" spans="1:4" x14ac:dyDescent="0.2">
      <c r="A30" t="s">
        <v>107</v>
      </c>
      <c r="B30" t="s">
        <v>79</v>
      </c>
      <c r="C30" s="9">
        <v>70700</v>
      </c>
      <c r="D30" s="9">
        <v>19500</v>
      </c>
    </row>
    <row r="31" spans="1:4" x14ac:dyDescent="0.2">
      <c r="A31" t="s">
        <v>108</v>
      </c>
      <c r="B31" t="s">
        <v>79</v>
      </c>
      <c r="C31" s="9">
        <v>37000</v>
      </c>
      <c r="D31" s="9">
        <v>18200</v>
      </c>
    </row>
    <row r="32" spans="1:4" x14ac:dyDescent="0.2">
      <c r="A32" t="s">
        <v>109</v>
      </c>
      <c r="B32" t="s">
        <v>82</v>
      </c>
      <c r="C32" s="9">
        <v>58700</v>
      </c>
      <c r="D32" s="9">
        <v>29800</v>
      </c>
    </row>
    <row r="33" spans="1:4" x14ac:dyDescent="0.2">
      <c r="A33" t="s">
        <v>110</v>
      </c>
      <c r="B33" t="s">
        <v>84</v>
      </c>
      <c r="C33" s="9">
        <v>80300</v>
      </c>
      <c r="D33" s="9">
        <v>31300</v>
      </c>
    </row>
    <row r="34" spans="1:4" x14ac:dyDescent="0.2">
      <c r="A34" t="s">
        <v>111</v>
      </c>
      <c r="B34" t="s">
        <v>86</v>
      </c>
      <c r="C34" s="9">
        <v>20600</v>
      </c>
      <c r="D34" s="9">
        <v>9500</v>
      </c>
    </row>
    <row r="35" spans="1:4" x14ac:dyDescent="0.2">
      <c r="A35" t="s">
        <v>112</v>
      </c>
      <c r="B35" t="s">
        <v>79</v>
      </c>
      <c r="C35" s="9">
        <v>40200</v>
      </c>
      <c r="D35" s="9">
        <v>10200</v>
      </c>
    </row>
    <row r="36" spans="1:4" x14ac:dyDescent="0.2">
      <c r="A36" t="s">
        <v>113</v>
      </c>
      <c r="B36" t="s">
        <v>79</v>
      </c>
      <c r="C36" s="9">
        <v>42700</v>
      </c>
      <c r="D36" s="9">
        <v>12600</v>
      </c>
    </row>
    <row r="37" spans="1:4" x14ac:dyDescent="0.2">
      <c r="A37" t="s">
        <v>114</v>
      </c>
      <c r="B37" t="s">
        <v>82</v>
      </c>
      <c r="C37" s="9">
        <v>62000</v>
      </c>
      <c r="D37" s="9">
        <v>19000</v>
      </c>
    </row>
    <row r="38" spans="1:4" x14ac:dyDescent="0.2">
      <c r="A38" t="s">
        <v>115</v>
      </c>
      <c r="B38" t="s">
        <v>84</v>
      </c>
      <c r="C38" s="9">
        <v>64800</v>
      </c>
      <c r="D38" s="9">
        <v>30400</v>
      </c>
    </row>
    <row r="39" spans="1:4" x14ac:dyDescent="0.2">
      <c r="A39" t="s">
        <v>116</v>
      </c>
      <c r="B39" t="s">
        <v>86</v>
      </c>
      <c r="C39" s="9">
        <v>53100</v>
      </c>
      <c r="D39" s="9">
        <v>26600</v>
      </c>
    </row>
    <row r="40" spans="1:4" x14ac:dyDescent="0.2">
      <c r="A40" t="s">
        <v>117</v>
      </c>
      <c r="B40" t="s">
        <v>79</v>
      </c>
      <c r="C40" s="9">
        <v>109400</v>
      </c>
      <c r="D40" s="9">
        <v>53000</v>
      </c>
    </row>
    <row r="41" spans="1:4" x14ac:dyDescent="0.2">
      <c r="A41" t="s">
        <v>118</v>
      </c>
      <c r="B41" t="s">
        <v>79</v>
      </c>
      <c r="C41" s="9">
        <v>111100</v>
      </c>
      <c r="D41" s="9">
        <v>34000</v>
      </c>
    </row>
    <row r="42" spans="1:4" x14ac:dyDescent="0.2">
      <c r="A42" t="s">
        <v>119</v>
      </c>
      <c r="B42" t="s">
        <v>82</v>
      </c>
      <c r="C42" s="9">
        <v>27700</v>
      </c>
      <c r="D42" s="9">
        <v>13500</v>
      </c>
    </row>
    <row r="43" spans="1:4" x14ac:dyDescent="0.2">
      <c r="A43" t="s">
        <v>120</v>
      </c>
      <c r="B43" t="s">
        <v>84</v>
      </c>
      <c r="C43" s="9">
        <v>30900</v>
      </c>
      <c r="D43" s="9">
        <v>10000</v>
      </c>
    </row>
    <row r="44" spans="1:4" x14ac:dyDescent="0.2">
      <c r="A44" t="s">
        <v>121</v>
      </c>
      <c r="B44" t="s">
        <v>86</v>
      </c>
      <c r="C44" s="9">
        <v>76900</v>
      </c>
      <c r="D44" s="9">
        <v>33000</v>
      </c>
    </row>
    <row r="45" spans="1:4" x14ac:dyDescent="0.2">
      <c r="A45" t="s">
        <v>122</v>
      </c>
      <c r="B45" t="s">
        <v>79</v>
      </c>
      <c r="C45" s="9">
        <v>50900</v>
      </c>
      <c r="D45" s="9">
        <v>14900</v>
      </c>
    </row>
    <row r="46" spans="1:4" x14ac:dyDescent="0.2">
      <c r="A46" t="s">
        <v>123</v>
      </c>
      <c r="B46" t="s">
        <v>79</v>
      </c>
      <c r="C46" s="9">
        <v>108100</v>
      </c>
      <c r="D46" s="9">
        <v>53800</v>
      </c>
    </row>
    <row r="47" spans="1:4" x14ac:dyDescent="0.2">
      <c r="A47" t="s">
        <v>124</v>
      </c>
      <c r="B47" t="s">
        <v>82</v>
      </c>
      <c r="C47" s="9">
        <v>89000</v>
      </c>
      <c r="D47" s="9">
        <v>38300</v>
      </c>
    </row>
    <row r="48" spans="1:4" x14ac:dyDescent="0.2">
      <c r="A48" t="s">
        <v>125</v>
      </c>
      <c r="B48" t="s">
        <v>84</v>
      </c>
      <c r="C48" s="9">
        <v>96500</v>
      </c>
      <c r="D48" s="9">
        <v>31100</v>
      </c>
    </row>
    <row r="49" spans="1:4" x14ac:dyDescent="0.2">
      <c r="A49" t="s">
        <v>126</v>
      </c>
      <c r="B49" t="s">
        <v>86</v>
      </c>
      <c r="C49" s="9">
        <v>99600</v>
      </c>
      <c r="D49" s="9">
        <v>49100</v>
      </c>
    </row>
    <row r="50" spans="1:4" x14ac:dyDescent="0.2">
      <c r="A50" s="12" t="s">
        <v>127</v>
      </c>
      <c r="B50" s="12"/>
      <c r="C50" s="13">
        <f>SUM(C5:C44)</f>
        <v>2611700</v>
      </c>
      <c r="D50" s="13">
        <f>SUM(D5:D49)</f>
        <v>1236700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132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110200</v>
      </c>
      <c r="D5" s="9">
        <v>43900</v>
      </c>
    </row>
    <row r="6" spans="1:4" x14ac:dyDescent="0.2">
      <c r="A6" t="s">
        <v>80</v>
      </c>
      <c r="B6" t="s">
        <v>79</v>
      </c>
      <c r="C6" s="9">
        <v>43200</v>
      </c>
      <c r="D6" s="9">
        <v>20400</v>
      </c>
    </row>
    <row r="7" spans="1:4" x14ac:dyDescent="0.2">
      <c r="A7" t="s">
        <v>81</v>
      </c>
      <c r="B7" t="s">
        <v>82</v>
      </c>
      <c r="C7" s="9">
        <v>114100</v>
      </c>
      <c r="D7" s="9">
        <v>57600</v>
      </c>
    </row>
    <row r="8" spans="1:4" x14ac:dyDescent="0.2">
      <c r="A8" t="s">
        <v>83</v>
      </c>
      <c r="B8" t="s">
        <v>84</v>
      </c>
      <c r="C8" s="9">
        <v>91100</v>
      </c>
      <c r="D8" s="9">
        <v>43600</v>
      </c>
    </row>
    <row r="9" spans="1:4" x14ac:dyDescent="0.2">
      <c r="A9" t="s">
        <v>85</v>
      </c>
      <c r="B9" t="s">
        <v>86</v>
      </c>
      <c r="C9" s="9">
        <v>34300</v>
      </c>
      <c r="D9" s="9">
        <v>11500</v>
      </c>
    </row>
    <row r="10" spans="1:4" x14ac:dyDescent="0.2">
      <c r="A10" t="s">
        <v>87</v>
      </c>
      <c r="B10" t="s">
        <v>79</v>
      </c>
      <c r="C10" s="9">
        <v>118900</v>
      </c>
      <c r="D10" s="9">
        <v>48700</v>
      </c>
    </row>
    <row r="11" spans="1:4" x14ac:dyDescent="0.2">
      <c r="A11" t="s">
        <v>88</v>
      </c>
      <c r="B11" t="s">
        <v>79</v>
      </c>
      <c r="C11" s="9">
        <v>67400</v>
      </c>
      <c r="D11" s="9">
        <v>33200</v>
      </c>
    </row>
    <row r="12" spans="1:4" x14ac:dyDescent="0.2">
      <c r="A12" t="s">
        <v>89</v>
      </c>
      <c r="B12" t="s">
        <v>82</v>
      </c>
      <c r="C12" s="9">
        <v>75600</v>
      </c>
      <c r="D12" s="9">
        <v>37500</v>
      </c>
    </row>
    <row r="13" spans="1:4" x14ac:dyDescent="0.2">
      <c r="A13" t="s">
        <v>90</v>
      </c>
      <c r="B13" t="s">
        <v>84</v>
      </c>
      <c r="C13" s="9">
        <v>92300</v>
      </c>
      <c r="D13" s="9">
        <v>29300</v>
      </c>
    </row>
    <row r="14" spans="1:4" x14ac:dyDescent="0.2">
      <c r="A14" t="s">
        <v>91</v>
      </c>
      <c r="B14" t="s">
        <v>86</v>
      </c>
      <c r="C14" s="9">
        <v>108600</v>
      </c>
      <c r="D14" s="9">
        <v>28200</v>
      </c>
    </row>
    <row r="15" spans="1:4" x14ac:dyDescent="0.2">
      <c r="A15" t="s">
        <v>92</v>
      </c>
      <c r="B15" t="s">
        <v>79</v>
      </c>
      <c r="C15" s="9">
        <v>31900</v>
      </c>
      <c r="D15" s="9">
        <v>12700</v>
      </c>
    </row>
    <row r="16" spans="1:4" x14ac:dyDescent="0.2">
      <c r="A16" t="s">
        <v>93</v>
      </c>
      <c r="B16" t="s">
        <v>79</v>
      </c>
      <c r="C16" s="9">
        <v>41000</v>
      </c>
      <c r="D16" s="9">
        <v>10700</v>
      </c>
    </row>
    <row r="17" spans="1:4" x14ac:dyDescent="0.2">
      <c r="A17" t="s">
        <v>94</v>
      </c>
      <c r="B17" t="s">
        <v>82</v>
      </c>
      <c r="C17" s="9">
        <v>46700</v>
      </c>
      <c r="D17" s="9">
        <v>11900</v>
      </c>
    </row>
    <row r="18" spans="1:4" x14ac:dyDescent="0.2">
      <c r="A18" t="s">
        <v>95</v>
      </c>
      <c r="B18" t="s">
        <v>84</v>
      </c>
      <c r="C18" s="9">
        <v>94200</v>
      </c>
      <c r="D18" s="9">
        <v>26400</v>
      </c>
    </row>
    <row r="19" spans="1:4" x14ac:dyDescent="0.2">
      <c r="A19" t="s">
        <v>96</v>
      </c>
      <c r="B19" t="s">
        <v>86</v>
      </c>
      <c r="C19" s="9">
        <v>68500</v>
      </c>
      <c r="D19" s="9">
        <v>23000</v>
      </c>
    </row>
    <row r="20" spans="1:4" x14ac:dyDescent="0.2">
      <c r="A20" t="s">
        <v>97</v>
      </c>
      <c r="B20" t="s">
        <v>79</v>
      </c>
      <c r="C20" s="9">
        <v>51100</v>
      </c>
      <c r="D20" s="9">
        <v>21200</v>
      </c>
    </row>
    <row r="21" spans="1:4" x14ac:dyDescent="0.2">
      <c r="A21" t="s">
        <v>98</v>
      </c>
      <c r="B21" t="s">
        <v>79</v>
      </c>
      <c r="C21" s="9">
        <v>113400</v>
      </c>
      <c r="D21" s="9">
        <v>54500</v>
      </c>
    </row>
    <row r="22" spans="1:4" x14ac:dyDescent="0.2">
      <c r="A22" t="s">
        <v>99</v>
      </c>
      <c r="B22" t="s">
        <v>82</v>
      </c>
      <c r="C22" s="9">
        <v>57500</v>
      </c>
      <c r="D22" s="9">
        <v>24800</v>
      </c>
    </row>
    <row r="23" spans="1:4" x14ac:dyDescent="0.2">
      <c r="A23" t="s">
        <v>100</v>
      </c>
      <c r="B23" t="s">
        <v>84</v>
      </c>
      <c r="C23" s="9">
        <v>26300</v>
      </c>
      <c r="D23" s="9">
        <v>14200</v>
      </c>
    </row>
    <row r="24" spans="1:4" x14ac:dyDescent="0.2">
      <c r="A24" t="s">
        <v>101</v>
      </c>
      <c r="B24" t="s">
        <v>86</v>
      </c>
      <c r="C24" s="9">
        <v>46000</v>
      </c>
      <c r="D24" s="9">
        <v>14500</v>
      </c>
    </row>
    <row r="25" spans="1:4" x14ac:dyDescent="0.2">
      <c r="A25" t="s">
        <v>102</v>
      </c>
      <c r="B25" t="s">
        <v>79</v>
      </c>
      <c r="C25" s="9">
        <v>69800</v>
      </c>
      <c r="D25" s="9">
        <v>27800</v>
      </c>
    </row>
    <row r="26" spans="1:4" x14ac:dyDescent="0.2">
      <c r="A26" t="s">
        <v>103</v>
      </c>
      <c r="B26" t="s">
        <v>79</v>
      </c>
      <c r="C26" s="9">
        <v>67500</v>
      </c>
      <c r="D26" s="9">
        <v>34900</v>
      </c>
    </row>
    <row r="27" spans="1:4" x14ac:dyDescent="0.2">
      <c r="A27" t="s">
        <v>104</v>
      </c>
      <c r="B27" t="s">
        <v>82</v>
      </c>
      <c r="C27" s="9">
        <v>116100</v>
      </c>
      <c r="D27" s="9">
        <v>45600</v>
      </c>
    </row>
    <row r="28" spans="1:4" x14ac:dyDescent="0.2">
      <c r="A28" t="s">
        <v>105</v>
      </c>
      <c r="B28" t="s">
        <v>84</v>
      </c>
      <c r="C28" s="9">
        <v>31500</v>
      </c>
      <c r="D28" s="9">
        <v>12300</v>
      </c>
    </row>
    <row r="29" spans="1:4" x14ac:dyDescent="0.2">
      <c r="A29" t="s">
        <v>106</v>
      </c>
      <c r="B29" t="s">
        <v>86</v>
      </c>
      <c r="C29" s="9">
        <v>83700</v>
      </c>
      <c r="D29" s="9">
        <v>41200</v>
      </c>
    </row>
    <row r="30" spans="1:4" x14ac:dyDescent="0.2">
      <c r="A30" t="s">
        <v>107</v>
      </c>
      <c r="B30" t="s">
        <v>79</v>
      </c>
      <c r="C30" s="9">
        <v>74600</v>
      </c>
      <c r="D30" s="9">
        <v>20600</v>
      </c>
    </row>
    <row r="31" spans="1:4" x14ac:dyDescent="0.2">
      <c r="A31" t="s">
        <v>108</v>
      </c>
      <c r="B31" t="s">
        <v>79</v>
      </c>
      <c r="C31" s="9">
        <v>39600</v>
      </c>
      <c r="D31" s="9">
        <v>19500</v>
      </c>
    </row>
    <row r="32" spans="1:4" x14ac:dyDescent="0.2">
      <c r="A32" t="s">
        <v>109</v>
      </c>
      <c r="B32" t="s">
        <v>82</v>
      </c>
      <c r="C32" s="9">
        <v>66000</v>
      </c>
      <c r="D32" s="9">
        <v>33500</v>
      </c>
    </row>
    <row r="33" spans="1:4" x14ac:dyDescent="0.2">
      <c r="A33" t="s">
        <v>110</v>
      </c>
      <c r="B33" t="s">
        <v>84</v>
      </c>
      <c r="C33" s="9">
        <v>84500</v>
      </c>
      <c r="D33" s="9">
        <v>32900</v>
      </c>
    </row>
    <row r="34" spans="1:4" x14ac:dyDescent="0.2">
      <c r="A34" t="s">
        <v>111</v>
      </c>
      <c r="B34" t="s">
        <v>86</v>
      </c>
      <c r="C34" s="9">
        <v>21800</v>
      </c>
      <c r="D34" s="9">
        <v>10000</v>
      </c>
    </row>
    <row r="35" spans="1:4" x14ac:dyDescent="0.2">
      <c r="A35" t="s">
        <v>112</v>
      </c>
      <c r="B35" t="s">
        <v>79</v>
      </c>
      <c r="C35" s="9">
        <v>43200</v>
      </c>
      <c r="D35" s="9">
        <v>11000</v>
      </c>
    </row>
    <row r="36" spans="1:4" x14ac:dyDescent="0.2">
      <c r="A36" t="s">
        <v>113</v>
      </c>
      <c r="B36" t="s">
        <v>79</v>
      </c>
      <c r="C36" s="9">
        <v>47600</v>
      </c>
      <c r="D36" s="9">
        <v>14100</v>
      </c>
    </row>
    <row r="37" spans="1:4" x14ac:dyDescent="0.2">
      <c r="A37" t="s">
        <v>114</v>
      </c>
      <c r="B37" t="s">
        <v>82</v>
      </c>
      <c r="C37" s="9">
        <v>63500</v>
      </c>
      <c r="D37" s="9">
        <v>19500</v>
      </c>
    </row>
    <row r="38" spans="1:4" x14ac:dyDescent="0.2">
      <c r="A38" t="s">
        <v>115</v>
      </c>
      <c r="B38" t="s">
        <v>84</v>
      </c>
      <c r="C38" s="9">
        <v>70900</v>
      </c>
      <c r="D38" s="9">
        <v>33300</v>
      </c>
    </row>
    <row r="39" spans="1:4" x14ac:dyDescent="0.2">
      <c r="A39" t="s">
        <v>116</v>
      </c>
      <c r="B39" t="s">
        <v>86</v>
      </c>
      <c r="C39" s="9">
        <v>58100</v>
      </c>
      <c r="D39" s="9">
        <v>29100</v>
      </c>
    </row>
    <row r="40" spans="1:4" x14ac:dyDescent="0.2">
      <c r="A40" t="s">
        <v>117</v>
      </c>
      <c r="B40" t="s">
        <v>79</v>
      </c>
      <c r="C40" s="9">
        <v>115300</v>
      </c>
      <c r="D40" s="9">
        <v>55800</v>
      </c>
    </row>
    <row r="41" spans="1:4" x14ac:dyDescent="0.2">
      <c r="A41" t="s">
        <v>118</v>
      </c>
      <c r="B41" t="s">
        <v>79</v>
      </c>
      <c r="C41" s="9">
        <v>125200</v>
      </c>
      <c r="D41" s="9">
        <v>38300</v>
      </c>
    </row>
    <row r="42" spans="1:4" x14ac:dyDescent="0.2">
      <c r="A42" t="s">
        <v>119</v>
      </c>
      <c r="B42" t="s">
        <v>82</v>
      </c>
      <c r="C42" s="9">
        <v>31400</v>
      </c>
      <c r="D42" s="9">
        <v>15300</v>
      </c>
    </row>
    <row r="43" spans="1:4" x14ac:dyDescent="0.2">
      <c r="A43" t="s">
        <v>120</v>
      </c>
      <c r="B43" t="s">
        <v>84</v>
      </c>
      <c r="C43" s="9">
        <v>30100</v>
      </c>
      <c r="D43" s="9">
        <v>9700</v>
      </c>
    </row>
    <row r="44" spans="1:4" x14ac:dyDescent="0.2">
      <c r="A44" t="s">
        <v>121</v>
      </c>
      <c r="B44" t="s">
        <v>86</v>
      </c>
      <c r="C44" s="9">
        <v>89500</v>
      </c>
      <c r="D44" s="9">
        <v>38400</v>
      </c>
    </row>
    <row r="45" spans="1:4" x14ac:dyDescent="0.2">
      <c r="A45" t="s">
        <v>122</v>
      </c>
      <c r="B45" t="s">
        <v>79</v>
      </c>
      <c r="C45" s="9">
        <v>49000</v>
      </c>
      <c r="D45" s="9">
        <v>14300</v>
      </c>
    </row>
    <row r="46" spans="1:4" x14ac:dyDescent="0.2">
      <c r="A46" t="s">
        <v>123</v>
      </c>
      <c r="B46" t="s">
        <v>79</v>
      </c>
      <c r="C46" s="9">
        <v>108500</v>
      </c>
      <c r="D46" s="9">
        <v>54000</v>
      </c>
    </row>
    <row r="47" spans="1:4" x14ac:dyDescent="0.2">
      <c r="A47" t="s">
        <v>124</v>
      </c>
      <c r="B47" t="s">
        <v>82</v>
      </c>
      <c r="C47" s="9">
        <v>105900</v>
      </c>
      <c r="D47" s="9">
        <v>45500</v>
      </c>
    </row>
    <row r="48" spans="1:4" x14ac:dyDescent="0.2">
      <c r="A48" t="s">
        <v>125</v>
      </c>
      <c r="B48" t="s">
        <v>84</v>
      </c>
      <c r="C48" s="9">
        <v>110200</v>
      </c>
      <c r="D48" s="9">
        <v>35500</v>
      </c>
    </row>
    <row r="49" spans="1:4" x14ac:dyDescent="0.2">
      <c r="A49" t="s">
        <v>126</v>
      </c>
      <c r="B49" t="s">
        <v>86</v>
      </c>
      <c r="C49" s="9">
        <v>114900</v>
      </c>
      <c r="D49" s="9">
        <v>56700</v>
      </c>
    </row>
    <row r="50" spans="1:4" x14ac:dyDescent="0.2">
      <c r="A50" s="12" t="s">
        <v>127</v>
      </c>
      <c r="B50" s="12"/>
      <c r="C50" s="13">
        <f>SUM(C5:C44)</f>
        <v>2762200</v>
      </c>
      <c r="D50" s="13">
        <f>SUM(D5:D49)</f>
        <v>1316600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133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99800</v>
      </c>
      <c r="D5" s="9">
        <v>39700</v>
      </c>
    </row>
    <row r="6" spans="1:4" x14ac:dyDescent="0.2">
      <c r="A6" t="s">
        <v>80</v>
      </c>
      <c r="B6" t="s">
        <v>79</v>
      </c>
      <c r="C6" s="9">
        <v>38300</v>
      </c>
      <c r="D6" s="9">
        <v>18100</v>
      </c>
    </row>
    <row r="7" spans="1:4" x14ac:dyDescent="0.2">
      <c r="A7" t="s">
        <v>81</v>
      </c>
      <c r="B7" t="s">
        <v>82</v>
      </c>
      <c r="C7" s="9">
        <v>98600</v>
      </c>
      <c r="D7" s="9">
        <v>49800</v>
      </c>
    </row>
    <row r="8" spans="1:4" x14ac:dyDescent="0.2">
      <c r="A8" t="s">
        <v>83</v>
      </c>
      <c r="B8" t="s">
        <v>84</v>
      </c>
      <c r="C8" s="9">
        <v>80800</v>
      </c>
      <c r="D8" s="9">
        <v>38600</v>
      </c>
    </row>
    <row r="9" spans="1:4" x14ac:dyDescent="0.2">
      <c r="A9" t="s">
        <v>85</v>
      </c>
      <c r="B9" t="s">
        <v>86</v>
      </c>
      <c r="C9" s="9">
        <v>35100</v>
      </c>
      <c r="D9" s="9">
        <v>11800</v>
      </c>
    </row>
    <row r="10" spans="1:4" x14ac:dyDescent="0.2">
      <c r="A10" t="s">
        <v>87</v>
      </c>
      <c r="B10" t="s">
        <v>79</v>
      </c>
      <c r="C10" s="9">
        <v>99200</v>
      </c>
      <c r="D10" s="9">
        <v>40600</v>
      </c>
    </row>
    <row r="11" spans="1:4" x14ac:dyDescent="0.2">
      <c r="A11" t="s">
        <v>88</v>
      </c>
      <c r="B11" t="s">
        <v>79</v>
      </c>
      <c r="C11" s="9">
        <v>70000</v>
      </c>
      <c r="D11" s="9">
        <v>34500</v>
      </c>
    </row>
    <row r="12" spans="1:4" x14ac:dyDescent="0.2">
      <c r="A12" t="s">
        <v>89</v>
      </c>
      <c r="B12" t="s">
        <v>82</v>
      </c>
      <c r="C12" s="9">
        <v>68200</v>
      </c>
      <c r="D12" s="9">
        <v>33800</v>
      </c>
    </row>
    <row r="13" spans="1:4" x14ac:dyDescent="0.2">
      <c r="A13" t="s">
        <v>90</v>
      </c>
      <c r="B13" t="s">
        <v>84</v>
      </c>
      <c r="C13" s="9">
        <v>78200</v>
      </c>
      <c r="D13" s="9">
        <v>24800</v>
      </c>
    </row>
    <row r="14" spans="1:4" x14ac:dyDescent="0.2">
      <c r="A14" t="s">
        <v>91</v>
      </c>
      <c r="B14" t="s">
        <v>86</v>
      </c>
      <c r="C14" s="9">
        <v>92400</v>
      </c>
      <c r="D14" s="9">
        <v>24000</v>
      </c>
    </row>
    <row r="15" spans="1:4" x14ac:dyDescent="0.2">
      <c r="A15" t="s">
        <v>92</v>
      </c>
      <c r="B15" t="s">
        <v>79</v>
      </c>
      <c r="C15" s="9">
        <v>27100</v>
      </c>
      <c r="D15" s="9">
        <v>10800</v>
      </c>
    </row>
    <row r="16" spans="1:4" x14ac:dyDescent="0.2">
      <c r="A16" t="s">
        <v>93</v>
      </c>
      <c r="B16" t="s">
        <v>79</v>
      </c>
      <c r="C16" s="9">
        <v>38200</v>
      </c>
      <c r="D16" s="9">
        <v>9900</v>
      </c>
    </row>
    <row r="17" spans="1:4" x14ac:dyDescent="0.2">
      <c r="A17" t="s">
        <v>94</v>
      </c>
      <c r="B17" t="s">
        <v>82</v>
      </c>
      <c r="C17" s="9">
        <v>44000</v>
      </c>
      <c r="D17" s="9">
        <v>11300</v>
      </c>
    </row>
    <row r="18" spans="1:4" x14ac:dyDescent="0.2">
      <c r="A18" t="s">
        <v>95</v>
      </c>
      <c r="B18" t="s">
        <v>84</v>
      </c>
      <c r="C18" s="9">
        <v>87300</v>
      </c>
      <c r="D18" s="9">
        <v>24500</v>
      </c>
    </row>
    <row r="19" spans="1:4" x14ac:dyDescent="0.2">
      <c r="A19" t="s">
        <v>96</v>
      </c>
      <c r="B19" t="s">
        <v>86</v>
      </c>
      <c r="C19" s="9">
        <v>68400</v>
      </c>
      <c r="D19" s="9">
        <v>22900</v>
      </c>
    </row>
    <row r="20" spans="1:4" x14ac:dyDescent="0.2">
      <c r="A20" t="s">
        <v>97</v>
      </c>
      <c r="B20" t="s">
        <v>79</v>
      </c>
      <c r="C20" s="9">
        <v>44600</v>
      </c>
      <c r="D20" s="9">
        <v>18500</v>
      </c>
    </row>
    <row r="21" spans="1:4" x14ac:dyDescent="0.2">
      <c r="A21" t="s">
        <v>98</v>
      </c>
      <c r="B21" t="s">
        <v>79</v>
      </c>
      <c r="C21" s="9">
        <v>109900</v>
      </c>
      <c r="D21" s="9">
        <v>52800</v>
      </c>
    </row>
    <row r="22" spans="1:4" x14ac:dyDescent="0.2">
      <c r="A22" t="s">
        <v>99</v>
      </c>
      <c r="B22" t="s">
        <v>82</v>
      </c>
      <c r="C22" s="9">
        <v>53700</v>
      </c>
      <c r="D22" s="9">
        <v>23200</v>
      </c>
    </row>
    <row r="23" spans="1:4" x14ac:dyDescent="0.2">
      <c r="A23" t="s">
        <v>100</v>
      </c>
      <c r="B23" t="s">
        <v>84</v>
      </c>
      <c r="C23" s="9">
        <v>24300</v>
      </c>
      <c r="D23" s="9">
        <v>13100</v>
      </c>
    </row>
    <row r="24" spans="1:4" x14ac:dyDescent="0.2">
      <c r="A24" t="s">
        <v>101</v>
      </c>
      <c r="B24" t="s">
        <v>86</v>
      </c>
      <c r="C24" s="9">
        <v>45900</v>
      </c>
      <c r="D24" s="9">
        <v>14500</v>
      </c>
    </row>
    <row r="25" spans="1:4" x14ac:dyDescent="0.2">
      <c r="A25" t="s">
        <v>102</v>
      </c>
      <c r="B25" t="s">
        <v>79</v>
      </c>
      <c r="C25" s="9">
        <v>66300</v>
      </c>
      <c r="D25" s="9">
        <v>26400</v>
      </c>
    </row>
    <row r="26" spans="1:4" x14ac:dyDescent="0.2">
      <c r="A26" t="s">
        <v>103</v>
      </c>
      <c r="B26" t="s">
        <v>79</v>
      </c>
      <c r="C26" s="9">
        <v>64700</v>
      </c>
      <c r="D26" s="9">
        <v>33500</v>
      </c>
    </row>
    <row r="27" spans="1:4" x14ac:dyDescent="0.2">
      <c r="A27" t="s">
        <v>104</v>
      </c>
      <c r="B27" t="s">
        <v>82</v>
      </c>
      <c r="C27" s="9">
        <v>112000</v>
      </c>
      <c r="D27" s="9">
        <v>44000</v>
      </c>
    </row>
    <row r="28" spans="1:4" x14ac:dyDescent="0.2">
      <c r="A28" t="s">
        <v>105</v>
      </c>
      <c r="B28" t="s">
        <v>84</v>
      </c>
      <c r="C28" s="9">
        <v>25600</v>
      </c>
      <c r="D28" s="9">
        <v>10000</v>
      </c>
    </row>
    <row r="29" spans="1:4" x14ac:dyDescent="0.2">
      <c r="A29" t="s">
        <v>106</v>
      </c>
      <c r="B29" t="s">
        <v>86</v>
      </c>
      <c r="C29" s="9">
        <v>71900</v>
      </c>
      <c r="D29" s="9">
        <v>35400</v>
      </c>
    </row>
    <row r="30" spans="1:4" x14ac:dyDescent="0.2">
      <c r="A30" t="s">
        <v>107</v>
      </c>
      <c r="B30" t="s">
        <v>79</v>
      </c>
      <c r="C30" s="9">
        <v>70200</v>
      </c>
      <c r="D30" s="9">
        <v>19400</v>
      </c>
    </row>
    <row r="31" spans="1:4" x14ac:dyDescent="0.2">
      <c r="A31" t="s">
        <v>108</v>
      </c>
      <c r="B31" t="s">
        <v>79</v>
      </c>
      <c r="C31" s="9">
        <v>38300</v>
      </c>
      <c r="D31" s="9">
        <v>18900</v>
      </c>
    </row>
    <row r="32" spans="1:4" x14ac:dyDescent="0.2">
      <c r="A32" t="s">
        <v>109</v>
      </c>
      <c r="B32" t="s">
        <v>82</v>
      </c>
      <c r="C32" s="9">
        <v>57400</v>
      </c>
      <c r="D32" s="9">
        <v>29200</v>
      </c>
    </row>
    <row r="33" spans="1:4" x14ac:dyDescent="0.2">
      <c r="A33" t="s">
        <v>110</v>
      </c>
      <c r="B33" t="s">
        <v>84</v>
      </c>
      <c r="C33" s="9">
        <v>82200</v>
      </c>
      <c r="D33" s="9">
        <v>32000</v>
      </c>
    </row>
    <row r="34" spans="1:4" x14ac:dyDescent="0.2">
      <c r="A34" t="s">
        <v>111</v>
      </c>
      <c r="B34" t="s">
        <v>86</v>
      </c>
      <c r="C34" s="9">
        <v>20500</v>
      </c>
      <c r="D34" s="9">
        <v>9400</v>
      </c>
    </row>
    <row r="35" spans="1:4" x14ac:dyDescent="0.2">
      <c r="A35" t="s">
        <v>112</v>
      </c>
      <c r="B35" t="s">
        <v>79</v>
      </c>
      <c r="C35" s="9">
        <v>41900</v>
      </c>
      <c r="D35" s="9">
        <v>10600</v>
      </c>
    </row>
    <row r="36" spans="1:4" x14ac:dyDescent="0.2">
      <c r="A36" t="s">
        <v>113</v>
      </c>
      <c r="B36" t="s">
        <v>79</v>
      </c>
      <c r="C36" s="9">
        <v>43400</v>
      </c>
      <c r="D36" s="9">
        <v>12800</v>
      </c>
    </row>
    <row r="37" spans="1:4" x14ac:dyDescent="0.2">
      <c r="A37" t="s">
        <v>114</v>
      </c>
      <c r="B37" t="s">
        <v>82</v>
      </c>
      <c r="C37" s="9">
        <v>55500</v>
      </c>
      <c r="D37" s="9">
        <v>17000</v>
      </c>
    </row>
    <row r="38" spans="1:4" x14ac:dyDescent="0.2">
      <c r="A38" t="s">
        <v>115</v>
      </c>
      <c r="B38" t="s">
        <v>84</v>
      </c>
      <c r="C38" s="9">
        <v>66900</v>
      </c>
      <c r="D38" s="9">
        <v>31400</v>
      </c>
    </row>
    <row r="39" spans="1:4" x14ac:dyDescent="0.2">
      <c r="A39" t="s">
        <v>116</v>
      </c>
      <c r="B39" t="s">
        <v>86</v>
      </c>
      <c r="C39" s="9">
        <v>48200</v>
      </c>
      <c r="D39" s="9">
        <v>24100</v>
      </c>
    </row>
    <row r="40" spans="1:4" x14ac:dyDescent="0.2">
      <c r="A40" t="s">
        <v>117</v>
      </c>
      <c r="B40" t="s">
        <v>79</v>
      </c>
      <c r="C40" s="9">
        <v>101100</v>
      </c>
      <c r="D40" s="9">
        <v>49000</v>
      </c>
    </row>
    <row r="41" spans="1:4" x14ac:dyDescent="0.2">
      <c r="A41" t="s">
        <v>118</v>
      </c>
      <c r="B41" t="s">
        <v>79</v>
      </c>
      <c r="C41" s="9">
        <v>110000</v>
      </c>
      <c r="D41" s="9">
        <v>33700</v>
      </c>
    </row>
    <row r="42" spans="1:4" x14ac:dyDescent="0.2">
      <c r="A42" t="s">
        <v>119</v>
      </c>
      <c r="B42" t="s">
        <v>82</v>
      </c>
      <c r="C42" s="9">
        <v>29700</v>
      </c>
      <c r="D42" s="9">
        <v>14500</v>
      </c>
    </row>
    <row r="43" spans="1:4" x14ac:dyDescent="0.2">
      <c r="A43" t="s">
        <v>120</v>
      </c>
      <c r="B43" t="s">
        <v>84</v>
      </c>
      <c r="C43" s="9">
        <v>29300</v>
      </c>
      <c r="D43" s="9">
        <v>9400</v>
      </c>
    </row>
    <row r="44" spans="1:4" x14ac:dyDescent="0.2">
      <c r="A44" t="s">
        <v>121</v>
      </c>
      <c r="B44" t="s">
        <v>86</v>
      </c>
      <c r="C44" s="9">
        <v>77000</v>
      </c>
      <c r="D44" s="9">
        <v>33000</v>
      </c>
    </row>
    <row r="45" spans="1:4" x14ac:dyDescent="0.2">
      <c r="A45" t="s">
        <v>122</v>
      </c>
      <c r="B45" t="s">
        <v>79</v>
      </c>
      <c r="C45" s="9">
        <v>50000</v>
      </c>
      <c r="D45" s="9">
        <v>14600</v>
      </c>
    </row>
    <row r="46" spans="1:4" x14ac:dyDescent="0.2">
      <c r="A46" t="s">
        <v>123</v>
      </c>
      <c r="B46" t="s">
        <v>79</v>
      </c>
      <c r="C46" s="9">
        <v>93700</v>
      </c>
      <c r="D46" s="9">
        <v>46700</v>
      </c>
    </row>
    <row r="47" spans="1:4" x14ac:dyDescent="0.2">
      <c r="A47" t="s">
        <v>124</v>
      </c>
      <c r="B47" t="s">
        <v>82</v>
      </c>
      <c r="C47" s="9">
        <v>88600</v>
      </c>
      <c r="D47" s="9">
        <v>38100</v>
      </c>
    </row>
    <row r="48" spans="1:4" x14ac:dyDescent="0.2">
      <c r="A48" t="s">
        <v>125</v>
      </c>
      <c r="B48" t="s">
        <v>84</v>
      </c>
      <c r="C48" s="9">
        <v>100000</v>
      </c>
      <c r="D48" s="9">
        <v>32200</v>
      </c>
    </row>
    <row r="49" spans="1:4" x14ac:dyDescent="0.2">
      <c r="A49" t="s">
        <v>126</v>
      </c>
      <c r="B49" t="s">
        <v>86</v>
      </c>
      <c r="C49" s="9">
        <v>95600</v>
      </c>
      <c r="D49" s="9">
        <v>47100</v>
      </c>
    </row>
    <row r="50" spans="1:4" x14ac:dyDescent="0.2">
      <c r="A50" s="12" t="s">
        <v>127</v>
      </c>
      <c r="B50" s="12"/>
      <c r="C50" s="13">
        <f>SUM(C5:C44)</f>
        <v>2516100</v>
      </c>
      <c r="D50" s="13">
        <f>SUM(D5:D49)</f>
        <v>1189600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134</v>
      </c>
    </row>
    <row r="2" spans="1:4" x14ac:dyDescent="0.2">
      <c r="A2" s="2" t="s">
        <v>135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19">
        <v>105.6</v>
      </c>
      <c r="D5" s="19">
        <v>42</v>
      </c>
    </row>
    <row r="6" spans="1:4" x14ac:dyDescent="0.2">
      <c r="A6" t="s">
        <v>80</v>
      </c>
      <c r="B6" t="s">
        <v>79</v>
      </c>
      <c r="C6" s="19">
        <v>35.1</v>
      </c>
      <c r="D6" s="19">
        <v>16.600000000000001</v>
      </c>
    </row>
    <row r="7" spans="1:4" x14ac:dyDescent="0.2">
      <c r="A7" t="s">
        <v>81</v>
      </c>
      <c r="B7" t="s">
        <v>82</v>
      </c>
      <c r="C7" s="19">
        <v>102.3</v>
      </c>
      <c r="D7" s="19">
        <v>51.6</v>
      </c>
    </row>
    <row r="8" spans="1:4" x14ac:dyDescent="0.2">
      <c r="A8" t="s">
        <v>83</v>
      </c>
      <c r="B8" t="s">
        <v>84</v>
      </c>
      <c r="C8" s="19">
        <v>76.099999999999994</v>
      </c>
      <c r="D8" s="19">
        <v>36.4</v>
      </c>
    </row>
    <row r="9" spans="1:4" x14ac:dyDescent="0.2">
      <c r="A9" t="s">
        <v>85</v>
      </c>
      <c r="B9" t="s">
        <v>86</v>
      </c>
      <c r="C9" s="19">
        <v>32.9</v>
      </c>
      <c r="D9" s="19">
        <v>11.1</v>
      </c>
    </row>
    <row r="10" spans="1:4" x14ac:dyDescent="0.2">
      <c r="A10" t="s">
        <v>87</v>
      </c>
      <c r="B10" t="s">
        <v>79</v>
      </c>
      <c r="C10" s="19">
        <v>101.5</v>
      </c>
      <c r="D10" s="19">
        <v>41.5</v>
      </c>
    </row>
    <row r="11" spans="1:4" x14ac:dyDescent="0.2">
      <c r="A11" t="s">
        <v>88</v>
      </c>
      <c r="B11" t="s">
        <v>79</v>
      </c>
      <c r="C11" s="19">
        <v>65.3</v>
      </c>
      <c r="D11" s="19">
        <v>32.200000000000003</v>
      </c>
    </row>
    <row r="12" spans="1:4" x14ac:dyDescent="0.2">
      <c r="A12" t="s">
        <v>89</v>
      </c>
      <c r="B12" t="s">
        <v>82</v>
      </c>
      <c r="C12" s="19">
        <v>59.6</v>
      </c>
      <c r="D12" s="19">
        <v>29.6</v>
      </c>
    </row>
    <row r="13" spans="1:4" x14ac:dyDescent="0.2">
      <c r="A13" t="s">
        <v>90</v>
      </c>
      <c r="B13" t="s">
        <v>84</v>
      </c>
      <c r="C13" s="19">
        <v>74.5</v>
      </c>
      <c r="D13" s="19">
        <v>23.7</v>
      </c>
    </row>
    <row r="14" spans="1:4" x14ac:dyDescent="0.2">
      <c r="A14" t="s">
        <v>91</v>
      </c>
      <c r="B14" t="s">
        <v>86</v>
      </c>
      <c r="C14" s="19">
        <v>90.5</v>
      </c>
      <c r="D14" s="19">
        <v>23.5</v>
      </c>
    </row>
    <row r="15" spans="1:4" x14ac:dyDescent="0.2">
      <c r="A15" t="s">
        <v>92</v>
      </c>
      <c r="B15" t="s">
        <v>79</v>
      </c>
      <c r="C15" s="19">
        <v>26.9</v>
      </c>
      <c r="D15" s="19">
        <v>10.7</v>
      </c>
    </row>
    <row r="16" spans="1:4" x14ac:dyDescent="0.2">
      <c r="A16" t="s">
        <v>93</v>
      </c>
      <c r="B16" t="s">
        <v>79</v>
      </c>
      <c r="C16" s="19">
        <v>38.799999999999997</v>
      </c>
      <c r="D16" s="19">
        <v>10.1</v>
      </c>
    </row>
    <row r="17" spans="1:4" x14ac:dyDescent="0.2">
      <c r="A17" t="s">
        <v>94</v>
      </c>
      <c r="B17" t="s">
        <v>82</v>
      </c>
      <c r="C17" s="19">
        <v>44.9</v>
      </c>
      <c r="D17" s="19">
        <v>11.5</v>
      </c>
    </row>
    <row r="18" spans="1:4" x14ac:dyDescent="0.2">
      <c r="A18" t="s">
        <v>95</v>
      </c>
      <c r="B18" t="s">
        <v>84</v>
      </c>
      <c r="C18" s="19">
        <v>82.2</v>
      </c>
      <c r="D18" s="19">
        <v>23.1</v>
      </c>
    </row>
    <row r="19" spans="1:4" x14ac:dyDescent="0.2">
      <c r="A19" t="s">
        <v>96</v>
      </c>
      <c r="B19" t="s">
        <v>86</v>
      </c>
      <c r="C19" s="19">
        <v>62.4</v>
      </c>
      <c r="D19" s="19">
        <v>20.9</v>
      </c>
    </row>
    <row r="20" spans="1:4" x14ac:dyDescent="0.2">
      <c r="A20" t="s">
        <v>97</v>
      </c>
      <c r="B20" t="s">
        <v>79</v>
      </c>
      <c r="C20" s="19">
        <v>44.5</v>
      </c>
      <c r="D20" s="19">
        <v>18.5</v>
      </c>
    </row>
    <row r="21" spans="1:4" x14ac:dyDescent="0.2">
      <c r="A21" t="s">
        <v>98</v>
      </c>
      <c r="B21" t="s">
        <v>79</v>
      </c>
      <c r="C21" s="19">
        <v>112.6</v>
      </c>
      <c r="D21" s="19">
        <v>54.1</v>
      </c>
    </row>
    <row r="22" spans="1:4" x14ac:dyDescent="0.2">
      <c r="A22" t="s">
        <v>99</v>
      </c>
      <c r="B22" t="s">
        <v>82</v>
      </c>
      <c r="C22" s="19">
        <v>47.8</v>
      </c>
      <c r="D22" s="19">
        <v>20.6</v>
      </c>
    </row>
    <row r="23" spans="1:4" x14ac:dyDescent="0.2">
      <c r="A23" t="s">
        <v>100</v>
      </c>
      <c r="B23" t="s">
        <v>84</v>
      </c>
      <c r="C23" s="19">
        <v>23.5</v>
      </c>
      <c r="D23" s="19">
        <v>12.7</v>
      </c>
    </row>
    <row r="24" spans="1:4" x14ac:dyDescent="0.2">
      <c r="A24" t="s">
        <v>101</v>
      </c>
      <c r="B24" t="s">
        <v>86</v>
      </c>
      <c r="C24" s="19">
        <v>45.5</v>
      </c>
      <c r="D24" s="19">
        <v>14.4</v>
      </c>
    </row>
    <row r="25" spans="1:4" x14ac:dyDescent="0.2">
      <c r="A25" t="s">
        <v>102</v>
      </c>
      <c r="B25" t="s">
        <v>79</v>
      </c>
      <c r="C25" s="19">
        <v>66.400000000000006</v>
      </c>
      <c r="D25" s="19">
        <v>26.4</v>
      </c>
    </row>
    <row r="26" spans="1:4" x14ac:dyDescent="0.2">
      <c r="A26" t="s">
        <v>103</v>
      </c>
      <c r="B26" t="s">
        <v>79</v>
      </c>
      <c r="C26" s="19">
        <v>61.4</v>
      </c>
      <c r="D26" s="19">
        <v>31.8</v>
      </c>
    </row>
    <row r="27" spans="1:4" x14ac:dyDescent="0.2">
      <c r="A27" t="s">
        <v>104</v>
      </c>
      <c r="B27" t="s">
        <v>82</v>
      </c>
      <c r="C27" s="19">
        <v>112</v>
      </c>
      <c r="D27" s="19">
        <v>44</v>
      </c>
    </row>
    <row r="28" spans="1:4" x14ac:dyDescent="0.2">
      <c r="A28" t="s">
        <v>105</v>
      </c>
      <c r="B28" t="s">
        <v>84</v>
      </c>
      <c r="C28" s="19">
        <v>26.5</v>
      </c>
      <c r="D28" s="19">
        <v>10.4</v>
      </c>
    </row>
    <row r="29" spans="1:4" x14ac:dyDescent="0.2">
      <c r="A29" t="s">
        <v>106</v>
      </c>
      <c r="B29" t="s">
        <v>86</v>
      </c>
      <c r="C29" s="19">
        <v>69</v>
      </c>
      <c r="D29" s="19">
        <v>33.9</v>
      </c>
    </row>
    <row r="30" spans="1:4" x14ac:dyDescent="0.2">
      <c r="A30" t="s">
        <v>107</v>
      </c>
      <c r="B30" t="s">
        <v>79</v>
      </c>
      <c r="C30" s="19">
        <v>71.400000000000006</v>
      </c>
      <c r="D30" s="19">
        <v>19.7</v>
      </c>
    </row>
    <row r="31" spans="1:4" x14ac:dyDescent="0.2">
      <c r="A31" t="s">
        <v>108</v>
      </c>
      <c r="B31" t="s">
        <v>79</v>
      </c>
      <c r="C31" s="19">
        <v>33.299999999999997</v>
      </c>
      <c r="D31" s="19">
        <v>16.399999999999999</v>
      </c>
    </row>
    <row r="32" spans="1:4" x14ac:dyDescent="0.2">
      <c r="A32" t="s">
        <v>109</v>
      </c>
      <c r="B32" t="s">
        <v>82</v>
      </c>
      <c r="C32" s="19">
        <v>54.9</v>
      </c>
      <c r="D32" s="19">
        <v>27.9</v>
      </c>
    </row>
    <row r="33" spans="1:4" x14ac:dyDescent="0.2">
      <c r="A33" t="s">
        <v>110</v>
      </c>
      <c r="B33" t="s">
        <v>84</v>
      </c>
      <c r="C33" s="19">
        <v>79.400000000000006</v>
      </c>
      <c r="D33" s="19">
        <v>30.9</v>
      </c>
    </row>
    <row r="34" spans="1:4" x14ac:dyDescent="0.2">
      <c r="A34" t="s">
        <v>111</v>
      </c>
      <c r="B34" t="s">
        <v>86</v>
      </c>
      <c r="C34" s="19">
        <v>20.2</v>
      </c>
      <c r="D34" s="19">
        <v>9.3000000000000007</v>
      </c>
    </row>
    <row r="35" spans="1:4" x14ac:dyDescent="0.2">
      <c r="A35" t="s">
        <v>112</v>
      </c>
      <c r="B35" t="s">
        <v>79</v>
      </c>
      <c r="C35" s="19">
        <v>41.8</v>
      </c>
      <c r="D35" s="19">
        <v>10.6</v>
      </c>
    </row>
    <row r="36" spans="1:4" x14ac:dyDescent="0.2">
      <c r="A36" t="s">
        <v>113</v>
      </c>
      <c r="B36" t="s">
        <v>79</v>
      </c>
      <c r="C36" s="19">
        <v>41.8</v>
      </c>
      <c r="D36" s="19">
        <v>12.4</v>
      </c>
    </row>
    <row r="37" spans="1:4" x14ac:dyDescent="0.2">
      <c r="A37" t="s">
        <v>114</v>
      </c>
      <c r="B37" t="s">
        <v>82</v>
      </c>
      <c r="C37" s="19">
        <v>59.5</v>
      </c>
      <c r="D37" s="19">
        <v>18.2</v>
      </c>
    </row>
    <row r="38" spans="1:4" x14ac:dyDescent="0.2">
      <c r="A38" t="s">
        <v>115</v>
      </c>
      <c r="B38" t="s">
        <v>84</v>
      </c>
      <c r="C38" s="19">
        <v>66</v>
      </c>
      <c r="D38" s="19">
        <v>31</v>
      </c>
    </row>
    <row r="39" spans="1:4" x14ac:dyDescent="0.2">
      <c r="A39" t="s">
        <v>116</v>
      </c>
      <c r="B39" t="s">
        <v>86</v>
      </c>
      <c r="C39" s="19">
        <v>52.5</v>
      </c>
      <c r="D39" s="19">
        <v>26.3</v>
      </c>
    </row>
    <row r="40" spans="1:4" x14ac:dyDescent="0.2">
      <c r="A40" t="s">
        <v>117</v>
      </c>
      <c r="B40" t="s">
        <v>79</v>
      </c>
      <c r="C40" s="19">
        <v>107.8</v>
      </c>
      <c r="D40" s="19">
        <v>52.2</v>
      </c>
    </row>
    <row r="41" spans="1:4" x14ac:dyDescent="0.2">
      <c r="A41" t="s">
        <v>118</v>
      </c>
      <c r="B41" t="s">
        <v>79</v>
      </c>
      <c r="C41" s="19">
        <v>112.2</v>
      </c>
      <c r="D41" s="19">
        <v>34.299999999999997</v>
      </c>
    </row>
    <row r="42" spans="1:4" x14ac:dyDescent="0.2">
      <c r="A42" t="s">
        <v>119</v>
      </c>
      <c r="B42" t="s">
        <v>82</v>
      </c>
      <c r="C42" s="19">
        <v>26.4</v>
      </c>
      <c r="D42" s="19">
        <v>12.9</v>
      </c>
    </row>
    <row r="43" spans="1:4" x14ac:dyDescent="0.2">
      <c r="A43" t="s">
        <v>120</v>
      </c>
      <c r="B43" t="s">
        <v>84</v>
      </c>
      <c r="C43" s="19">
        <v>27.2</v>
      </c>
      <c r="D43" s="19">
        <v>8.8000000000000007</v>
      </c>
    </row>
    <row r="44" spans="1:4" x14ac:dyDescent="0.2">
      <c r="A44" t="s">
        <v>121</v>
      </c>
      <c r="B44" t="s">
        <v>86</v>
      </c>
      <c r="C44" s="19">
        <v>81.599999999999994</v>
      </c>
      <c r="D44" s="19">
        <v>35</v>
      </c>
    </row>
    <row r="45" spans="1:4" x14ac:dyDescent="0.2">
      <c r="A45" t="s">
        <v>122</v>
      </c>
      <c r="B45" t="s">
        <v>79</v>
      </c>
      <c r="C45" s="19">
        <v>47.6</v>
      </c>
      <c r="D45" s="19">
        <v>13.9</v>
      </c>
    </row>
    <row r="46" spans="1:4" x14ac:dyDescent="0.2">
      <c r="A46" t="s">
        <v>123</v>
      </c>
      <c r="B46" t="s">
        <v>79</v>
      </c>
      <c r="C46" s="19">
        <v>102.6</v>
      </c>
      <c r="D46" s="19">
        <v>51.1</v>
      </c>
    </row>
    <row r="47" spans="1:4" x14ac:dyDescent="0.2">
      <c r="A47" t="s">
        <v>124</v>
      </c>
      <c r="B47" t="s">
        <v>82</v>
      </c>
      <c r="C47" s="19">
        <v>85.8</v>
      </c>
      <c r="D47" s="19">
        <v>36.9</v>
      </c>
    </row>
    <row r="48" spans="1:4" x14ac:dyDescent="0.2">
      <c r="A48" t="s">
        <v>125</v>
      </c>
      <c r="B48" t="s">
        <v>84</v>
      </c>
      <c r="C48" s="19">
        <v>102.7</v>
      </c>
      <c r="D48" s="19">
        <v>33.1</v>
      </c>
    </row>
    <row r="49" spans="1:4" x14ac:dyDescent="0.2">
      <c r="A49" t="s">
        <v>126</v>
      </c>
      <c r="B49" t="s">
        <v>86</v>
      </c>
      <c r="C49" s="19">
        <v>97.1</v>
      </c>
      <c r="D49" s="19">
        <v>47.9</v>
      </c>
    </row>
    <row r="50" spans="1:4" x14ac:dyDescent="0.2">
      <c r="A50" s="12" t="s">
        <v>127</v>
      </c>
      <c r="B50" s="12"/>
      <c r="C50" s="13">
        <f>SUM(C5:C44)</f>
        <v>2483.8000000000002</v>
      </c>
      <c r="D50" s="13">
        <f>SUM(D5:D49)</f>
        <v>1180.0999999999999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136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118000</v>
      </c>
      <c r="D5" s="9">
        <v>47000</v>
      </c>
    </row>
    <row r="6" spans="1:4" x14ac:dyDescent="0.2">
      <c r="A6" t="s">
        <v>80</v>
      </c>
      <c r="B6" t="s">
        <v>79</v>
      </c>
      <c r="C6" s="9">
        <v>42900</v>
      </c>
      <c r="D6" s="9">
        <v>20300</v>
      </c>
    </row>
    <row r="7" spans="1:4" x14ac:dyDescent="0.2">
      <c r="A7" t="s">
        <v>81</v>
      </c>
      <c r="B7" t="s">
        <v>82</v>
      </c>
      <c r="C7" s="9">
        <v>111200</v>
      </c>
      <c r="D7" s="9">
        <v>56100</v>
      </c>
    </row>
    <row r="8" spans="1:4" x14ac:dyDescent="0.2">
      <c r="A8" t="s">
        <v>83</v>
      </c>
      <c r="B8" t="s">
        <v>84</v>
      </c>
      <c r="C8" s="9">
        <v>83600</v>
      </c>
      <c r="D8" s="9">
        <v>40000</v>
      </c>
    </row>
    <row r="9" spans="1:4" x14ac:dyDescent="0.2">
      <c r="A9" t="s">
        <v>85</v>
      </c>
      <c r="B9" t="s">
        <v>86</v>
      </c>
      <c r="C9" s="9">
        <v>36600</v>
      </c>
      <c r="D9" s="9">
        <v>12300</v>
      </c>
    </row>
    <row r="10" spans="1:4" x14ac:dyDescent="0.2">
      <c r="A10" t="s">
        <v>87</v>
      </c>
      <c r="B10" t="s">
        <v>79</v>
      </c>
      <c r="C10" s="9">
        <v>109700</v>
      </c>
      <c r="D10" s="9">
        <v>44900</v>
      </c>
    </row>
    <row r="11" spans="1:4" x14ac:dyDescent="0.2">
      <c r="A11" t="s">
        <v>88</v>
      </c>
      <c r="B11" t="s">
        <v>79</v>
      </c>
      <c r="C11" s="9">
        <v>75700</v>
      </c>
      <c r="D11" s="9">
        <v>37300</v>
      </c>
    </row>
    <row r="12" spans="1:4" x14ac:dyDescent="0.2">
      <c r="A12" t="s">
        <v>89</v>
      </c>
      <c r="B12" t="s">
        <v>82</v>
      </c>
      <c r="C12" s="9">
        <v>70400</v>
      </c>
      <c r="D12" s="9">
        <v>34900</v>
      </c>
    </row>
    <row r="13" spans="1:4" x14ac:dyDescent="0.2">
      <c r="A13" t="s">
        <v>90</v>
      </c>
      <c r="B13" t="s">
        <v>84</v>
      </c>
      <c r="C13" s="9">
        <v>90800</v>
      </c>
      <c r="D13" s="9">
        <v>28800</v>
      </c>
    </row>
    <row r="14" spans="1:4" x14ac:dyDescent="0.2">
      <c r="A14" t="s">
        <v>91</v>
      </c>
      <c r="B14" t="s">
        <v>86</v>
      </c>
      <c r="C14" s="9">
        <v>113200</v>
      </c>
      <c r="D14" s="9">
        <v>29400</v>
      </c>
    </row>
    <row r="15" spans="1:4" x14ac:dyDescent="0.2">
      <c r="A15" t="s">
        <v>92</v>
      </c>
      <c r="B15" t="s">
        <v>79</v>
      </c>
      <c r="C15" s="9">
        <v>31600</v>
      </c>
      <c r="D15" s="9">
        <v>12600</v>
      </c>
    </row>
    <row r="16" spans="1:4" x14ac:dyDescent="0.2">
      <c r="A16" t="s">
        <v>93</v>
      </c>
      <c r="B16" t="s">
        <v>79</v>
      </c>
      <c r="C16" s="9">
        <v>44700</v>
      </c>
      <c r="D16" s="9">
        <v>11600</v>
      </c>
    </row>
    <row r="17" spans="1:4" x14ac:dyDescent="0.2">
      <c r="A17" t="s">
        <v>94</v>
      </c>
      <c r="B17" t="s">
        <v>82</v>
      </c>
      <c r="C17" s="9">
        <v>48100</v>
      </c>
      <c r="D17" s="9">
        <v>12300</v>
      </c>
    </row>
    <row r="18" spans="1:4" x14ac:dyDescent="0.2">
      <c r="A18" t="s">
        <v>95</v>
      </c>
      <c r="B18" t="s">
        <v>84</v>
      </c>
      <c r="C18" s="9">
        <v>100900</v>
      </c>
      <c r="D18" s="9">
        <v>28300</v>
      </c>
    </row>
    <row r="19" spans="1:4" x14ac:dyDescent="0.2">
      <c r="A19" t="s">
        <v>96</v>
      </c>
      <c r="B19" t="s">
        <v>86</v>
      </c>
      <c r="C19" s="9">
        <v>72500</v>
      </c>
      <c r="D19" s="9">
        <v>24300</v>
      </c>
    </row>
    <row r="20" spans="1:4" x14ac:dyDescent="0.2">
      <c r="A20" t="s">
        <v>97</v>
      </c>
      <c r="B20" t="s">
        <v>79</v>
      </c>
      <c r="C20" s="9">
        <v>52000</v>
      </c>
      <c r="D20" s="9">
        <v>21600</v>
      </c>
    </row>
    <row r="21" spans="1:4" x14ac:dyDescent="0.2">
      <c r="A21" t="s">
        <v>98</v>
      </c>
      <c r="B21" t="s">
        <v>79</v>
      </c>
      <c r="C21" s="9">
        <v>125500</v>
      </c>
      <c r="D21" s="9">
        <v>60300</v>
      </c>
    </row>
    <row r="22" spans="1:4" x14ac:dyDescent="0.2">
      <c r="A22" t="s">
        <v>99</v>
      </c>
      <c r="B22" t="s">
        <v>82</v>
      </c>
      <c r="C22" s="9">
        <v>60400</v>
      </c>
      <c r="D22" s="9">
        <v>26100</v>
      </c>
    </row>
    <row r="23" spans="1:4" x14ac:dyDescent="0.2">
      <c r="A23" t="s">
        <v>100</v>
      </c>
      <c r="B23" t="s">
        <v>84</v>
      </c>
      <c r="C23" s="9">
        <v>27900</v>
      </c>
      <c r="D23" s="9">
        <v>15000</v>
      </c>
    </row>
    <row r="24" spans="1:4" x14ac:dyDescent="0.2">
      <c r="A24" t="s">
        <v>101</v>
      </c>
      <c r="B24" t="s">
        <v>86</v>
      </c>
      <c r="C24" s="9">
        <v>53000</v>
      </c>
      <c r="D24" s="9">
        <v>16700</v>
      </c>
    </row>
    <row r="25" spans="1:4" x14ac:dyDescent="0.2">
      <c r="A25" t="s">
        <v>102</v>
      </c>
      <c r="B25" t="s">
        <v>79</v>
      </c>
      <c r="C25" s="9">
        <v>76900</v>
      </c>
      <c r="D25" s="9">
        <v>30600</v>
      </c>
    </row>
    <row r="26" spans="1:4" x14ac:dyDescent="0.2">
      <c r="A26" t="s">
        <v>103</v>
      </c>
      <c r="B26" t="s">
        <v>79</v>
      </c>
      <c r="C26" s="9">
        <v>70000</v>
      </c>
      <c r="D26" s="9">
        <v>36200</v>
      </c>
    </row>
    <row r="27" spans="1:4" x14ac:dyDescent="0.2">
      <c r="A27" t="s">
        <v>104</v>
      </c>
      <c r="B27" t="s">
        <v>82</v>
      </c>
      <c r="C27" s="9">
        <v>129900</v>
      </c>
      <c r="D27" s="9">
        <v>51000</v>
      </c>
    </row>
    <row r="28" spans="1:4" x14ac:dyDescent="0.2">
      <c r="A28" t="s">
        <v>105</v>
      </c>
      <c r="B28" t="s">
        <v>84</v>
      </c>
      <c r="C28" s="9">
        <v>29300</v>
      </c>
      <c r="D28" s="9">
        <v>11500</v>
      </c>
    </row>
    <row r="29" spans="1:4" x14ac:dyDescent="0.2">
      <c r="A29" t="s">
        <v>106</v>
      </c>
      <c r="B29" t="s">
        <v>86</v>
      </c>
      <c r="C29" s="9">
        <v>83200</v>
      </c>
      <c r="D29" s="9">
        <v>40900</v>
      </c>
    </row>
    <row r="30" spans="1:4" x14ac:dyDescent="0.2">
      <c r="A30" t="s">
        <v>107</v>
      </c>
      <c r="B30" t="s">
        <v>79</v>
      </c>
      <c r="C30" s="9">
        <v>82900</v>
      </c>
      <c r="D30" s="9">
        <v>22900</v>
      </c>
    </row>
    <row r="31" spans="1:4" x14ac:dyDescent="0.2">
      <c r="A31" t="s">
        <v>108</v>
      </c>
      <c r="B31" t="s">
        <v>79</v>
      </c>
      <c r="C31" s="9">
        <v>40900</v>
      </c>
      <c r="D31" s="9">
        <v>20200</v>
      </c>
    </row>
    <row r="32" spans="1:4" x14ac:dyDescent="0.2">
      <c r="A32" t="s">
        <v>109</v>
      </c>
      <c r="B32" t="s">
        <v>82</v>
      </c>
      <c r="C32" s="9">
        <v>65000</v>
      </c>
      <c r="D32" s="9">
        <v>33000</v>
      </c>
    </row>
    <row r="33" spans="1:4" x14ac:dyDescent="0.2">
      <c r="A33" t="s">
        <v>110</v>
      </c>
      <c r="B33" t="s">
        <v>84</v>
      </c>
      <c r="C33" s="9">
        <v>87300</v>
      </c>
      <c r="D33" s="9">
        <v>34000</v>
      </c>
    </row>
    <row r="34" spans="1:4" x14ac:dyDescent="0.2">
      <c r="A34" t="s">
        <v>111</v>
      </c>
      <c r="B34" t="s">
        <v>86</v>
      </c>
      <c r="C34" s="9">
        <v>21200</v>
      </c>
      <c r="D34" s="9">
        <v>9800</v>
      </c>
    </row>
    <row r="35" spans="1:4" x14ac:dyDescent="0.2">
      <c r="A35" t="s">
        <v>112</v>
      </c>
      <c r="B35" t="s">
        <v>79</v>
      </c>
      <c r="C35" s="9">
        <v>46100</v>
      </c>
      <c r="D35" s="9">
        <v>11700</v>
      </c>
    </row>
    <row r="36" spans="1:4" x14ac:dyDescent="0.2">
      <c r="A36" t="s">
        <v>113</v>
      </c>
      <c r="B36" t="s">
        <v>79</v>
      </c>
      <c r="C36" s="9">
        <v>45000</v>
      </c>
      <c r="D36" s="9">
        <v>13300</v>
      </c>
    </row>
    <row r="37" spans="1:4" x14ac:dyDescent="0.2">
      <c r="A37" t="s">
        <v>114</v>
      </c>
      <c r="B37" t="s">
        <v>82</v>
      </c>
      <c r="C37" s="9">
        <v>66100</v>
      </c>
      <c r="D37" s="9">
        <v>20300</v>
      </c>
    </row>
    <row r="38" spans="1:4" x14ac:dyDescent="0.2">
      <c r="A38" t="s">
        <v>115</v>
      </c>
      <c r="B38" t="s">
        <v>84</v>
      </c>
      <c r="C38" s="9">
        <v>70200</v>
      </c>
      <c r="D38" s="9">
        <v>33000</v>
      </c>
    </row>
    <row r="39" spans="1:4" x14ac:dyDescent="0.2">
      <c r="A39" t="s">
        <v>116</v>
      </c>
      <c r="B39" t="s">
        <v>86</v>
      </c>
      <c r="C39" s="9">
        <v>60300</v>
      </c>
      <c r="D39" s="9">
        <v>30200</v>
      </c>
    </row>
    <row r="40" spans="1:4" x14ac:dyDescent="0.2">
      <c r="A40" t="s">
        <v>117</v>
      </c>
      <c r="B40" t="s">
        <v>79</v>
      </c>
      <c r="C40" s="9">
        <v>126400</v>
      </c>
      <c r="D40" s="9">
        <v>61200</v>
      </c>
    </row>
    <row r="41" spans="1:4" x14ac:dyDescent="0.2">
      <c r="A41" t="s">
        <v>118</v>
      </c>
      <c r="B41" t="s">
        <v>79</v>
      </c>
      <c r="C41" s="9">
        <v>121800</v>
      </c>
      <c r="D41" s="9">
        <v>37300</v>
      </c>
    </row>
    <row r="42" spans="1:4" x14ac:dyDescent="0.2">
      <c r="A42" t="s">
        <v>119</v>
      </c>
      <c r="B42" t="s">
        <v>82</v>
      </c>
      <c r="C42" s="9">
        <v>32000</v>
      </c>
      <c r="D42" s="9">
        <v>15600</v>
      </c>
    </row>
    <row r="43" spans="1:4" x14ac:dyDescent="0.2">
      <c r="A43" t="s">
        <v>120</v>
      </c>
      <c r="B43" t="s">
        <v>84</v>
      </c>
      <c r="C43" s="9">
        <v>32200</v>
      </c>
      <c r="D43" s="9">
        <v>10400</v>
      </c>
    </row>
    <row r="44" spans="1:4" x14ac:dyDescent="0.2">
      <c r="A44" t="s">
        <v>121</v>
      </c>
      <c r="B44" t="s">
        <v>86</v>
      </c>
      <c r="C44" s="9">
        <v>91900</v>
      </c>
      <c r="D44" s="9">
        <v>39400</v>
      </c>
    </row>
    <row r="45" spans="1:4" x14ac:dyDescent="0.2">
      <c r="A45" t="s">
        <v>122</v>
      </c>
      <c r="B45" t="s">
        <v>79</v>
      </c>
      <c r="C45" s="9">
        <v>53400</v>
      </c>
      <c r="D45" s="9">
        <v>15600</v>
      </c>
    </row>
    <row r="46" spans="1:4" x14ac:dyDescent="0.2">
      <c r="A46" t="s">
        <v>123</v>
      </c>
      <c r="B46" t="s">
        <v>79</v>
      </c>
      <c r="C46" s="9">
        <v>113500</v>
      </c>
      <c r="D46" s="9">
        <v>56500</v>
      </c>
    </row>
    <row r="47" spans="1:4" x14ac:dyDescent="0.2">
      <c r="A47" t="s">
        <v>124</v>
      </c>
      <c r="B47" t="s">
        <v>82</v>
      </c>
      <c r="C47" s="9">
        <v>104500</v>
      </c>
      <c r="D47" s="9">
        <v>44900</v>
      </c>
    </row>
    <row r="48" spans="1:4" x14ac:dyDescent="0.2">
      <c r="A48" t="s">
        <v>125</v>
      </c>
      <c r="B48" t="s">
        <v>84</v>
      </c>
      <c r="C48" s="9">
        <v>103900</v>
      </c>
      <c r="D48" s="9">
        <v>33500</v>
      </c>
    </row>
    <row r="49" spans="1:4" x14ac:dyDescent="0.2">
      <c r="A49" t="s">
        <v>126</v>
      </c>
      <c r="B49" t="s">
        <v>86</v>
      </c>
      <c r="C49" s="9">
        <v>105600</v>
      </c>
      <c r="D49" s="9">
        <v>52100</v>
      </c>
    </row>
    <row r="50" spans="1:4" x14ac:dyDescent="0.2">
      <c r="A50" s="12" t="s">
        <v>127</v>
      </c>
      <c r="B50" s="12"/>
      <c r="C50" s="13">
        <f>SUM(C5:C44)</f>
        <v>2847300</v>
      </c>
      <c r="D50" s="13">
        <f>SUM(D5:D49)</f>
        <v>1344900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137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109700</v>
      </c>
      <c r="D5" s="9">
        <v>43700</v>
      </c>
    </row>
    <row r="6" spans="1:4" x14ac:dyDescent="0.2">
      <c r="A6" t="s">
        <v>80</v>
      </c>
      <c r="B6" t="s">
        <v>79</v>
      </c>
      <c r="C6" s="9">
        <v>41000</v>
      </c>
      <c r="D6" s="9">
        <v>19400</v>
      </c>
    </row>
    <row r="7" spans="1:4" x14ac:dyDescent="0.2">
      <c r="A7" t="s">
        <v>81</v>
      </c>
      <c r="B7" t="s">
        <v>82</v>
      </c>
      <c r="C7" s="9">
        <v>103900</v>
      </c>
      <c r="D7" s="9">
        <v>52500</v>
      </c>
    </row>
    <row r="8" spans="1:4" x14ac:dyDescent="0.2">
      <c r="A8" t="s">
        <v>83</v>
      </c>
      <c r="B8" t="s">
        <v>84</v>
      </c>
      <c r="C8" s="9">
        <v>82400</v>
      </c>
      <c r="D8" s="9">
        <v>39400</v>
      </c>
    </row>
    <row r="9" spans="1:4" x14ac:dyDescent="0.2">
      <c r="A9" t="s">
        <v>85</v>
      </c>
      <c r="B9" t="s">
        <v>86</v>
      </c>
      <c r="C9" s="9">
        <v>33900</v>
      </c>
      <c r="D9" s="9">
        <v>11400</v>
      </c>
    </row>
    <row r="10" spans="1:4" x14ac:dyDescent="0.2">
      <c r="A10" t="s">
        <v>87</v>
      </c>
      <c r="B10" t="s">
        <v>79</v>
      </c>
      <c r="C10" s="9">
        <v>104700</v>
      </c>
      <c r="D10" s="9">
        <v>42800</v>
      </c>
    </row>
    <row r="11" spans="1:4" x14ac:dyDescent="0.2">
      <c r="A11" t="s">
        <v>88</v>
      </c>
      <c r="B11" t="s">
        <v>79</v>
      </c>
      <c r="C11" s="9">
        <v>68200</v>
      </c>
      <c r="D11" s="9">
        <v>33600</v>
      </c>
    </row>
    <row r="12" spans="1:4" x14ac:dyDescent="0.2">
      <c r="A12" t="s">
        <v>89</v>
      </c>
      <c r="B12" t="s">
        <v>82</v>
      </c>
      <c r="C12" s="9">
        <v>72400</v>
      </c>
      <c r="D12" s="9">
        <v>35900</v>
      </c>
    </row>
    <row r="13" spans="1:4" x14ac:dyDescent="0.2">
      <c r="A13" t="s">
        <v>90</v>
      </c>
      <c r="B13" t="s">
        <v>84</v>
      </c>
      <c r="C13" s="9">
        <v>84300</v>
      </c>
      <c r="D13" s="9">
        <v>26800</v>
      </c>
    </row>
    <row r="14" spans="1:4" x14ac:dyDescent="0.2">
      <c r="A14" t="s">
        <v>91</v>
      </c>
      <c r="B14" t="s">
        <v>86</v>
      </c>
      <c r="C14" s="9">
        <v>108100</v>
      </c>
      <c r="D14" s="9">
        <v>28000</v>
      </c>
    </row>
    <row r="15" spans="1:4" x14ac:dyDescent="0.2">
      <c r="A15" t="s">
        <v>92</v>
      </c>
      <c r="B15" t="s">
        <v>79</v>
      </c>
      <c r="C15" s="9">
        <v>29700</v>
      </c>
      <c r="D15" s="9">
        <v>11900</v>
      </c>
    </row>
    <row r="16" spans="1:4" x14ac:dyDescent="0.2">
      <c r="A16" t="s">
        <v>93</v>
      </c>
      <c r="B16" t="s">
        <v>79</v>
      </c>
      <c r="C16" s="9">
        <v>41500</v>
      </c>
      <c r="D16" s="9">
        <v>10800</v>
      </c>
    </row>
    <row r="17" spans="1:4" x14ac:dyDescent="0.2">
      <c r="A17" t="s">
        <v>94</v>
      </c>
      <c r="B17" t="s">
        <v>82</v>
      </c>
      <c r="C17" s="9">
        <v>46500</v>
      </c>
      <c r="D17" s="9">
        <v>11900</v>
      </c>
    </row>
    <row r="18" spans="1:4" x14ac:dyDescent="0.2">
      <c r="A18" t="s">
        <v>95</v>
      </c>
      <c r="B18" t="s">
        <v>84</v>
      </c>
      <c r="C18" s="9">
        <v>86600</v>
      </c>
      <c r="D18" s="9">
        <v>24300</v>
      </c>
    </row>
    <row r="19" spans="1:4" x14ac:dyDescent="0.2">
      <c r="A19" t="s">
        <v>96</v>
      </c>
      <c r="B19" t="s">
        <v>86</v>
      </c>
      <c r="C19" s="9">
        <v>67100</v>
      </c>
      <c r="D19" s="9">
        <v>22500</v>
      </c>
    </row>
    <row r="20" spans="1:4" x14ac:dyDescent="0.2">
      <c r="A20" t="s">
        <v>97</v>
      </c>
      <c r="B20" t="s">
        <v>79</v>
      </c>
      <c r="C20" s="9">
        <v>48800</v>
      </c>
      <c r="D20" s="9">
        <v>20300</v>
      </c>
    </row>
    <row r="21" spans="1:4" x14ac:dyDescent="0.2">
      <c r="A21" t="s">
        <v>98</v>
      </c>
      <c r="B21" t="s">
        <v>79</v>
      </c>
      <c r="C21" s="9">
        <v>121000</v>
      </c>
      <c r="D21" s="9">
        <v>58100</v>
      </c>
    </row>
    <row r="22" spans="1:4" x14ac:dyDescent="0.2">
      <c r="A22" t="s">
        <v>99</v>
      </c>
      <c r="B22" t="s">
        <v>82</v>
      </c>
      <c r="C22" s="9">
        <v>59300</v>
      </c>
      <c r="D22" s="9">
        <v>25600</v>
      </c>
    </row>
    <row r="23" spans="1:4" x14ac:dyDescent="0.2">
      <c r="A23" t="s">
        <v>100</v>
      </c>
      <c r="B23" t="s">
        <v>84</v>
      </c>
      <c r="C23" s="9">
        <v>29300</v>
      </c>
      <c r="D23" s="9">
        <v>15800</v>
      </c>
    </row>
    <row r="24" spans="1:4" x14ac:dyDescent="0.2">
      <c r="A24" t="s">
        <v>101</v>
      </c>
      <c r="B24" t="s">
        <v>86</v>
      </c>
      <c r="C24" s="9">
        <v>50100</v>
      </c>
      <c r="D24" s="9">
        <v>15800</v>
      </c>
    </row>
    <row r="25" spans="1:4" x14ac:dyDescent="0.2">
      <c r="A25" t="s">
        <v>102</v>
      </c>
      <c r="B25" t="s">
        <v>79</v>
      </c>
      <c r="C25" s="9">
        <v>73800</v>
      </c>
      <c r="D25" s="9">
        <v>29400</v>
      </c>
    </row>
    <row r="26" spans="1:4" x14ac:dyDescent="0.2">
      <c r="A26" t="s">
        <v>103</v>
      </c>
      <c r="B26" t="s">
        <v>79</v>
      </c>
      <c r="C26" s="9">
        <v>64900</v>
      </c>
      <c r="D26" s="9">
        <v>33600</v>
      </c>
    </row>
    <row r="27" spans="1:4" x14ac:dyDescent="0.2">
      <c r="A27" t="s">
        <v>104</v>
      </c>
      <c r="B27" t="s">
        <v>82</v>
      </c>
      <c r="C27" s="9">
        <v>126300</v>
      </c>
      <c r="D27" s="9">
        <v>49600</v>
      </c>
    </row>
    <row r="28" spans="1:4" x14ac:dyDescent="0.2">
      <c r="A28" t="s">
        <v>105</v>
      </c>
      <c r="B28" t="s">
        <v>84</v>
      </c>
      <c r="C28" s="9">
        <v>28300</v>
      </c>
      <c r="D28" s="9">
        <v>11100</v>
      </c>
    </row>
    <row r="29" spans="1:4" x14ac:dyDescent="0.2">
      <c r="A29" t="s">
        <v>106</v>
      </c>
      <c r="B29" t="s">
        <v>86</v>
      </c>
      <c r="C29" s="9">
        <v>73400</v>
      </c>
      <c r="D29" s="9">
        <v>36100</v>
      </c>
    </row>
    <row r="30" spans="1:4" x14ac:dyDescent="0.2">
      <c r="A30" t="s">
        <v>107</v>
      </c>
      <c r="B30" t="s">
        <v>79</v>
      </c>
      <c r="C30" s="9">
        <v>75100</v>
      </c>
      <c r="D30" s="9">
        <v>20800</v>
      </c>
    </row>
    <row r="31" spans="1:4" x14ac:dyDescent="0.2">
      <c r="A31" t="s">
        <v>108</v>
      </c>
      <c r="B31" t="s">
        <v>79</v>
      </c>
      <c r="C31" s="9">
        <v>36400</v>
      </c>
      <c r="D31" s="9">
        <v>17900</v>
      </c>
    </row>
    <row r="32" spans="1:4" x14ac:dyDescent="0.2">
      <c r="A32" t="s">
        <v>109</v>
      </c>
      <c r="B32" t="s">
        <v>82</v>
      </c>
      <c r="C32" s="9">
        <v>64600</v>
      </c>
      <c r="D32" s="9">
        <v>32800</v>
      </c>
    </row>
    <row r="33" spans="1:4" x14ac:dyDescent="0.2">
      <c r="A33" t="s">
        <v>110</v>
      </c>
      <c r="B33" t="s">
        <v>84</v>
      </c>
      <c r="C33" s="9">
        <v>85200</v>
      </c>
      <c r="D33" s="9">
        <v>33200</v>
      </c>
    </row>
    <row r="34" spans="1:4" x14ac:dyDescent="0.2">
      <c r="A34" t="s">
        <v>111</v>
      </c>
      <c r="B34" t="s">
        <v>86</v>
      </c>
      <c r="C34" s="9">
        <v>20600</v>
      </c>
      <c r="D34" s="9">
        <v>9500</v>
      </c>
    </row>
    <row r="35" spans="1:4" x14ac:dyDescent="0.2">
      <c r="A35" t="s">
        <v>112</v>
      </c>
      <c r="B35" t="s">
        <v>79</v>
      </c>
      <c r="C35" s="9">
        <v>44500</v>
      </c>
      <c r="D35" s="9">
        <v>11300</v>
      </c>
    </row>
    <row r="36" spans="1:4" x14ac:dyDescent="0.2">
      <c r="A36" t="s">
        <v>113</v>
      </c>
      <c r="B36" t="s">
        <v>79</v>
      </c>
      <c r="C36" s="9">
        <v>48500</v>
      </c>
      <c r="D36" s="9">
        <v>14400</v>
      </c>
    </row>
    <row r="37" spans="1:4" x14ac:dyDescent="0.2">
      <c r="A37" t="s">
        <v>114</v>
      </c>
      <c r="B37" t="s">
        <v>82</v>
      </c>
      <c r="C37" s="9">
        <v>58000</v>
      </c>
      <c r="D37" s="9">
        <v>17800</v>
      </c>
    </row>
    <row r="38" spans="1:4" x14ac:dyDescent="0.2">
      <c r="A38" t="s">
        <v>115</v>
      </c>
      <c r="B38" t="s">
        <v>84</v>
      </c>
      <c r="C38" s="9">
        <v>68900</v>
      </c>
      <c r="D38" s="9">
        <v>32300</v>
      </c>
    </row>
    <row r="39" spans="1:4" x14ac:dyDescent="0.2">
      <c r="A39" t="s">
        <v>116</v>
      </c>
      <c r="B39" t="s">
        <v>86</v>
      </c>
      <c r="C39" s="9">
        <v>52300</v>
      </c>
      <c r="D39" s="9">
        <v>26200</v>
      </c>
    </row>
    <row r="40" spans="1:4" x14ac:dyDescent="0.2">
      <c r="A40" t="s">
        <v>117</v>
      </c>
      <c r="B40" t="s">
        <v>79</v>
      </c>
      <c r="C40" s="9">
        <v>114900</v>
      </c>
      <c r="D40" s="9">
        <v>55600</v>
      </c>
    </row>
    <row r="41" spans="1:4" x14ac:dyDescent="0.2">
      <c r="A41" t="s">
        <v>118</v>
      </c>
      <c r="B41" t="s">
        <v>79</v>
      </c>
      <c r="C41" s="9">
        <v>117400</v>
      </c>
      <c r="D41" s="9">
        <v>35900</v>
      </c>
    </row>
    <row r="42" spans="1:4" x14ac:dyDescent="0.2">
      <c r="A42" t="s">
        <v>119</v>
      </c>
      <c r="B42" t="s">
        <v>82</v>
      </c>
      <c r="C42" s="9">
        <v>29500</v>
      </c>
      <c r="D42" s="9">
        <v>14400</v>
      </c>
    </row>
    <row r="43" spans="1:4" x14ac:dyDescent="0.2">
      <c r="A43" t="s">
        <v>120</v>
      </c>
      <c r="B43" t="s">
        <v>84</v>
      </c>
      <c r="C43" s="9">
        <v>29300</v>
      </c>
      <c r="D43" s="9">
        <v>9400</v>
      </c>
    </row>
    <row r="44" spans="1:4" x14ac:dyDescent="0.2">
      <c r="A44" t="s">
        <v>121</v>
      </c>
      <c r="B44" t="s">
        <v>86</v>
      </c>
      <c r="C44" s="9">
        <v>89600</v>
      </c>
      <c r="D44" s="9">
        <v>38400</v>
      </c>
    </row>
    <row r="45" spans="1:4" x14ac:dyDescent="0.2">
      <c r="A45" t="s">
        <v>122</v>
      </c>
      <c r="B45" t="s">
        <v>79</v>
      </c>
      <c r="C45" s="9">
        <v>48700</v>
      </c>
      <c r="D45" s="9">
        <v>14200</v>
      </c>
    </row>
    <row r="46" spans="1:4" x14ac:dyDescent="0.2">
      <c r="A46" t="s">
        <v>123</v>
      </c>
      <c r="B46" t="s">
        <v>79</v>
      </c>
      <c r="C46" s="9">
        <v>109400</v>
      </c>
      <c r="D46" s="9">
        <v>54500</v>
      </c>
    </row>
    <row r="47" spans="1:4" x14ac:dyDescent="0.2">
      <c r="A47" t="s">
        <v>124</v>
      </c>
      <c r="B47" t="s">
        <v>82</v>
      </c>
      <c r="C47" s="9">
        <v>99600</v>
      </c>
      <c r="D47" s="9">
        <v>42800</v>
      </c>
    </row>
    <row r="48" spans="1:4" x14ac:dyDescent="0.2">
      <c r="A48" t="s">
        <v>125</v>
      </c>
      <c r="B48" t="s">
        <v>84</v>
      </c>
      <c r="C48" s="9">
        <v>111600</v>
      </c>
      <c r="D48" s="9">
        <v>36000</v>
      </c>
    </row>
    <row r="49" spans="1:4" x14ac:dyDescent="0.2">
      <c r="A49" t="s">
        <v>126</v>
      </c>
      <c r="B49" t="s">
        <v>86</v>
      </c>
      <c r="C49" s="9">
        <v>112200</v>
      </c>
      <c r="D49" s="9">
        <v>55300</v>
      </c>
    </row>
    <row r="50" spans="1:4" x14ac:dyDescent="0.2">
      <c r="A50" s="12" t="s">
        <v>127</v>
      </c>
      <c r="B50" s="12"/>
      <c r="C50" s="13">
        <f>SUM(C5:C44)</f>
        <v>2690000</v>
      </c>
      <c r="D50" s="13">
        <f>SUM(D5:D49)</f>
        <v>1283000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138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120700</v>
      </c>
      <c r="D5" s="9">
        <v>48100</v>
      </c>
    </row>
    <row r="6" spans="1:4" x14ac:dyDescent="0.2">
      <c r="A6" t="s">
        <v>80</v>
      </c>
      <c r="B6" t="s">
        <v>79</v>
      </c>
      <c r="C6" s="9">
        <v>40100</v>
      </c>
      <c r="D6" s="9">
        <v>19000</v>
      </c>
    </row>
    <row r="7" spans="1:4" x14ac:dyDescent="0.2">
      <c r="A7" t="s">
        <v>81</v>
      </c>
      <c r="B7" t="s">
        <v>82</v>
      </c>
      <c r="C7" s="9">
        <v>104500</v>
      </c>
      <c r="D7" s="9">
        <v>52800</v>
      </c>
    </row>
    <row r="8" spans="1:4" x14ac:dyDescent="0.2">
      <c r="A8" t="s">
        <v>83</v>
      </c>
      <c r="B8" t="s">
        <v>84</v>
      </c>
      <c r="C8" s="9">
        <v>83000</v>
      </c>
      <c r="D8" s="9">
        <v>39700</v>
      </c>
    </row>
    <row r="9" spans="1:4" x14ac:dyDescent="0.2">
      <c r="A9" t="s">
        <v>85</v>
      </c>
      <c r="B9" t="s">
        <v>86</v>
      </c>
      <c r="C9" s="9">
        <v>35700</v>
      </c>
      <c r="D9" s="9">
        <v>12000</v>
      </c>
    </row>
    <row r="10" spans="1:4" x14ac:dyDescent="0.2">
      <c r="A10" t="s">
        <v>87</v>
      </c>
      <c r="B10" t="s">
        <v>79</v>
      </c>
      <c r="C10" s="9">
        <v>108200</v>
      </c>
      <c r="D10" s="9">
        <v>44300</v>
      </c>
    </row>
    <row r="11" spans="1:4" x14ac:dyDescent="0.2">
      <c r="A11" t="s">
        <v>88</v>
      </c>
      <c r="B11" t="s">
        <v>79</v>
      </c>
      <c r="C11" s="9">
        <v>68900</v>
      </c>
      <c r="D11" s="9">
        <v>33900</v>
      </c>
    </row>
    <row r="12" spans="1:4" x14ac:dyDescent="0.2">
      <c r="A12" t="s">
        <v>89</v>
      </c>
      <c r="B12" t="s">
        <v>82</v>
      </c>
      <c r="C12" s="9">
        <v>74800</v>
      </c>
      <c r="D12" s="9">
        <v>37100</v>
      </c>
    </row>
    <row r="13" spans="1:4" x14ac:dyDescent="0.2">
      <c r="A13" t="s">
        <v>90</v>
      </c>
      <c r="B13" t="s">
        <v>84</v>
      </c>
      <c r="C13" s="9">
        <v>91000</v>
      </c>
      <c r="D13" s="9">
        <v>28900</v>
      </c>
    </row>
    <row r="14" spans="1:4" x14ac:dyDescent="0.2">
      <c r="A14" t="s">
        <v>91</v>
      </c>
      <c r="B14" t="s">
        <v>86</v>
      </c>
      <c r="C14" s="9">
        <v>102900</v>
      </c>
      <c r="D14" s="9">
        <v>26700</v>
      </c>
    </row>
    <row r="15" spans="1:4" x14ac:dyDescent="0.2">
      <c r="A15" t="s">
        <v>92</v>
      </c>
      <c r="B15" t="s">
        <v>79</v>
      </c>
      <c r="C15" s="9">
        <v>29400</v>
      </c>
      <c r="D15" s="9">
        <v>11700</v>
      </c>
    </row>
    <row r="16" spans="1:4" x14ac:dyDescent="0.2">
      <c r="A16" t="s">
        <v>93</v>
      </c>
      <c r="B16" t="s">
        <v>79</v>
      </c>
      <c r="C16" s="9">
        <v>47000</v>
      </c>
      <c r="D16" s="9">
        <v>12200</v>
      </c>
    </row>
    <row r="17" spans="1:4" x14ac:dyDescent="0.2">
      <c r="A17" t="s">
        <v>94</v>
      </c>
      <c r="B17" t="s">
        <v>82</v>
      </c>
      <c r="C17" s="9">
        <v>47400</v>
      </c>
      <c r="D17" s="9">
        <v>12100</v>
      </c>
    </row>
    <row r="18" spans="1:4" x14ac:dyDescent="0.2">
      <c r="A18" t="s">
        <v>95</v>
      </c>
      <c r="B18" t="s">
        <v>84</v>
      </c>
      <c r="C18" s="9">
        <v>100800</v>
      </c>
      <c r="D18" s="9">
        <v>28300</v>
      </c>
    </row>
    <row r="19" spans="1:4" x14ac:dyDescent="0.2">
      <c r="A19" t="s">
        <v>96</v>
      </c>
      <c r="B19" t="s">
        <v>86</v>
      </c>
      <c r="C19" s="9">
        <v>68100</v>
      </c>
      <c r="D19" s="9">
        <v>22800</v>
      </c>
    </row>
    <row r="20" spans="1:4" x14ac:dyDescent="0.2">
      <c r="A20" t="s">
        <v>97</v>
      </c>
      <c r="B20" t="s">
        <v>79</v>
      </c>
      <c r="C20" s="9">
        <v>51600</v>
      </c>
      <c r="D20" s="9">
        <v>21500</v>
      </c>
    </row>
    <row r="21" spans="1:4" x14ac:dyDescent="0.2">
      <c r="A21" t="s">
        <v>98</v>
      </c>
      <c r="B21" t="s">
        <v>79</v>
      </c>
      <c r="C21" s="9">
        <v>119300</v>
      </c>
      <c r="D21" s="9">
        <v>57300</v>
      </c>
    </row>
    <row r="22" spans="1:4" x14ac:dyDescent="0.2">
      <c r="A22" t="s">
        <v>99</v>
      </c>
      <c r="B22" t="s">
        <v>82</v>
      </c>
      <c r="C22" s="9">
        <v>56400</v>
      </c>
      <c r="D22" s="9">
        <v>24400</v>
      </c>
    </row>
    <row r="23" spans="1:4" x14ac:dyDescent="0.2">
      <c r="A23" t="s">
        <v>100</v>
      </c>
      <c r="B23" t="s">
        <v>84</v>
      </c>
      <c r="C23" s="9">
        <v>27500</v>
      </c>
      <c r="D23" s="9">
        <v>14800</v>
      </c>
    </row>
    <row r="24" spans="1:4" x14ac:dyDescent="0.2">
      <c r="A24" t="s">
        <v>101</v>
      </c>
      <c r="B24" t="s">
        <v>86</v>
      </c>
      <c r="C24" s="9">
        <v>46300</v>
      </c>
      <c r="D24" s="9">
        <v>14600</v>
      </c>
    </row>
    <row r="25" spans="1:4" x14ac:dyDescent="0.2">
      <c r="A25" t="s">
        <v>102</v>
      </c>
      <c r="B25" t="s">
        <v>79</v>
      </c>
      <c r="C25" s="9">
        <v>73000</v>
      </c>
      <c r="D25" s="9">
        <v>29100</v>
      </c>
    </row>
    <row r="26" spans="1:4" x14ac:dyDescent="0.2">
      <c r="A26" t="s">
        <v>103</v>
      </c>
      <c r="B26" t="s">
        <v>79</v>
      </c>
      <c r="C26" s="9">
        <v>73500</v>
      </c>
      <c r="D26" s="9">
        <v>38000</v>
      </c>
    </row>
    <row r="27" spans="1:4" x14ac:dyDescent="0.2">
      <c r="A27" t="s">
        <v>104</v>
      </c>
      <c r="B27" t="s">
        <v>82</v>
      </c>
      <c r="C27" s="9">
        <v>129100</v>
      </c>
      <c r="D27" s="9">
        <v>50700</v>
      </c>
    </row>
    <row r="28" spans="1:4" x14ac:dyDescent="0.2">
      <c r="A28" t="s">
        <v>105</v>
      </c>
      <c r="B28" t="s">
        <v>84</v>
      </c>
      <c r="C28" s="9">
        <v>31700</v>
      </c>
      <c r="D28" s="9">
        <v>12400</v>
      </c>
    </row>
    <row r="29" spans="1:4" x14ac:dyDescent="0.2">
      <c r="A29" t="s">
        <v>106</v>
      </c>
      <c r="B29" t="s">
        <v>86</v>
      </c>
      <c r="C29" s="9">
        <v>74700</v>
      </c>
      <c r="D29" s="9">
        <v>36700</v>
      </c>
    </row>
    <row r="30" spans="1:4" x14ac:dyDescent="0.2">
      <c r="A30" t="s">
        <v>107</v>
      </c>
      <c r="B30" t="s">
        <v>79</v>
      </c>
      <c r="C30" s="9">
        <v>85500</v>
      </c>
      <c r="D30" s="9">
        <v>23600</v>
      </c>
    </row>
    <row r="31" spans="1:4" x14ac:dyDescent="0.2">
      <c r="A31" t="s">
        <v>108</v>
      </c>
      <c r="B31" t="s">
        <v>79</v>
      </c>
      <c r="C31" s="9">
        <v>40900</v>
      </c>
      <c r="D31" s="9">
        <v>20200</v>
      </c>
    </row>
    <row r="32" spans="1:4" x14ac:dyDescent="0.2">
      <c r="A32" t="s">
        <v>109</v>
      </c>
      <c r="B32" t="s">
        <v>82</v>
      </c>
      <c r="C32" s="9">
        <v>63000</v>
      </c>
      <c r="D32" s="9">
        <v>32000</v>
      </c>
    </row>
    <row r="33" spans="1:4" x14ac:dyDescent="0.2">
      <c r="A33" t="s">
        <v>110</v>
      </c>
      <c r="B33" t="s">
        <v>84</v>
      </c>
      <c r="C33" s="9">
        <v>87500</v>
      </c>
      <c r="D33" s="9">
        <v>34100</v>
      </c>
    </row>
    <row r="34" spans="1:4" x14ac:dyDescent="0.2">
      <c r="A34" t="s">
        <v>111</v>
      </c>
      <c r="B34" t="s">
        <v>86</v>
      </c>
      <c r="C34" s="9">
        <v>23300</v>
      </c>
      <c r="D34" s="9">
        <v>10700</v>
      </c>
    </row>
    <row r="35" spans="1:4" x14ac:dyDescent="0.2">
      <c r="A35" t="s">
        <v>112</v>
      </c>
      <c r="B35" t="s">
        <v>79</v>
      </c>
      <c r="C35" s="9">
        <v>46400</v>
      </c>
      <c r="D35" s="9">
        <v>11800</v>
      </c>
    </row>
    <row r="36" spans="1:4" x14ac:dyDescent="0.2">
      <c r="A36" t="s">
        <v>113</v>
      </c>
      <c r="B36" t="s">
        <v>79</v>
      </c>
      <c r="C36" s="9">
        <v>45500</v>
      </c>
      <c r="D36" s="9">
        <v>13500</v>
      </c>
    </row>
    <row r="37" spans="1:4" x14ac:dyDescent="0.2">
      <c r="A37" t="s">
        <v>114</v>
      </c>
      <c r="B37" t="s">
        <v>82</v>
      </c>
      <c r="C37" s="9">
        <v>61300</v>
      </c>
      <c r="D37" s="9">
        <v>18800</v>
      </c>
    </row>
    <row r="38" spans="1:4" x14ac:dyDescent="0.2">
      <c r="A38" t="s">
        <v>115</v>
      </c>
      <c r="B38" t="s">
        <v>84</v>
      </c>
      <c r="C38" s="9">
        <v>65500</v>
      </c>
      <c r="D38" s="9">
        <v>30800</v>
      </c>
    </row>
    <row r="39" spans="1:4" x14ac:dyDescent="0.2">
      <c r="A39" t="s">
        <v>116</v>
      </c>
      <c r="B39" t="s">
        <v>86</v>
      </c>
      <c r="C39" s="9">
        <v>60300</v>
      </c>
      <c r="D39" s="9">
        <v>30200</v>
      </c>
    </row>
    <row r="40" spans="1:4" x14ac:dyDescent="0.2">
      <c r="A40" t="s">
        <v>117</v>
      </c>
      <c r="B40" t="s">
        <v>79</v>
      </c>
      <c r="C40" s="9">
        <v>120300</v>
      </c>
      <c r="D40" s="9">
        <v>58300</v>
      </c>
    </row>
    <row r="41" spans="1:4" x14ac:dyDescent="0.2">
      <c r="A41" t="s">
        <v>118</v>
      </c>
      <c r="B41" t="s">
        <v>79</v>
      </c>
      <c r="C41" s="9">
        <v>112600</v>
      </c>
      <c r="D41" s="9">
        <v>34500</v>
      </c>
    </row>
    <row r="42" spans="1:4" x14ac:dyDescent="0.2">
      <c r="A42" t="s">
        <v>119</v>
      </c>
      <c r="B42" t="s">
        <v>82</v>
      </c>
      <c r="C42" s="9">
        <v>32200</v>
      </c>
      <c r="D42" s="9">
        <v>15700</v>
      </c>
    </row>
    <row r="43" spans="1:4" x14ac:dyDescent="0.2">
      <c r="A43" t="s">
        <v>120</v>
      </c>
      <c r="B43" t="s">
        <v>84</v>
      </c>
      <c r="C43" s="9">
        <v>30400</v>
      </c>
      <c r="D43" s="9">
        <v>9800</v>
      </c>
    </row>
    <row r="44" spans="1:4" x14ac:dyDescent="0.2">
      <c r="A44" t="s">
        <v>121</v>
      </c>
      <c r="B44" t="s">
        <v>86</v>
      </c>
      <c r="C44" s="9">
        <v>92200</v>
      </c>
      <c r="D44" s="9">
        <v>39600</v>
      </c>
    </row>
    <row r="45" spans="1:4" x14ac:dyDescent="0.2">
      <c r="A45" t="s">
        <v>122</v>
      </c>
      <c r="B45" t="s">
        <v>79</v>
      </c>
      <c r="C45" s="9">
        <v>51500</v>
      </c>
      <c r="D45" s="9">
        <v>15000</v>
      </c>
    </row>
    <row r="46" spans="1:4" x14ac:dyDescent="0.2">
      <c r="A46" t="s">
        <v>123</v>
      </c>
      <c r="B46" t="s">
        <v>79</v>
      </c>
      <c r="C46" s="9">
        <v>117300</v>
      </c>
      <c r="D46" s="9">
        <v>58400</v>
      </c>
    </row>
    <row r="47" spans="1:4" x14ac:dyDescent="0.2">
      <c r="A47" t="s">
        <v>124</v>
      </c>
      <c r="B47" t="s">
        <v>82</v>
      </c>
      <c r="C47" s="9">
        <v>105200</v>
      </c>
      <c r="D47" s="9">
        <v>45200</v>
      </c>
    </row>
    <row r="48" spans="1:4" x14ac:dyDescent="0.2">
      <c r="A48" t="s">
        <v>125</v>
      </c>
      <c r="B48" t="s">
        <v>84</v>
      </c>
      <c r="C48" s="9">
        <v>107700</v>
      </c>
      <c r="D48" s="9">
        <v>34700</v>
      </c>
    </row>
    <row r="49" spans="1:4" x14ac:dyDescent="0.2">
      <c r="A49" t="s">
        <v>126</v>
      </c>
      <c r="B49" t="s">
        <v>86</v>
      </c>
      <c r="C49" s="9">
        <v>115200</v>
      </c>
      <c r="D49" s="9">
        <v>56800</v>
      </c>
    </row>
    <row r="50" spans="1:4" x14ac:dyDescent="0.2">
      <c r="A50" s="12" t="s">
        <v>127</v>
      </c>
      <c r="B50" s="12"/>
      <c r="C50" s="13">
        <f>SUM(C5:C44)</f>
        <v>2772500</v>
      </c>
      <c r="D50" s="13">
        <f>SUM(D5:D49)</f>
        <v>1322800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4" width="13" customWidth="1"/>
  </cols>
  <sheetData>
    <row r="1" spans="1:4" ht="19" x14ac:dyDescent="0.25">
      <c r="A1" s="1" t="s">
        <v>139</v>
      </c>
    </row>
    <row r="2" spans="1:4" x14ac:dyDescent="0.2">
      <c r="A2" s="2" t="s">
        <v>74</v>
      </c>
    </row>
    <row r="4" spans="1:4" ht="16" x14ac:dyDescent="0.2">
      <c r="A4" s="3" t="s">
        <v>75</v>
      </c>
      <c r="B4" s="3" t="s">
        <v>76</v>
      </c>
      <c r="C4" s="3" t="s">
        <v>77</v>
      </c>
      <c r="D4" s="3" t="s">
        <v>17</v>
      </c>
    </row>
    <row r="5" spans="1:4" x14ac:dyDescent="0.2">
      <c r="A5" t="s">
        <v>78</v>
      </c>
      <c r="B5" t="s">
        <v>79</v>
      </c>
      <c r="C5" s="9">
        <v>137400</v>
      </c>
      <c r="D5" s="9">
        <v>54700</v>
      </c>
    </row>
    <row r="6" spans="1:4" x14ac:dyDescent="0.2">
      <c r="A6" t="s">
        <v>80</v>
      </c>
      <c r="B6" t="s">
        <v>79</v>
      </c>
      <c r="C6" s="9">
        <v>47300</v>
      </c>
      <c r="D6" s="9">
        <v>22400</v>
      </c>
    </row>
    <row r="7" spans="1:4" x14ac:dyDescent="0.2">
      <c r="A7" t="s">
        <v>81</v>
      </c>
      <c r="B7" t="s">
        <v>82</v>
      </c>
      <c r="C7" s="9">
        <v>126100</v>
      </c>
      <c r="D7" s="9">
        <v>63700</v>
      </c>
    </row>
    <row r="8" spans="1:4" x14ac:dyDescent="0.2">
      <c r="A8" t="s">
        <v>83</v>
      </c>
      <c r="B8" t="s">
        <v>84</v>
      </c>
      <c r="C8" s="9">
        <v>95100</v>
      </c>
      <c r="D8" s="9">
        <v>45500</v>
      </c>
    </row>
    <row r="9" spans="1:4" x14ac:dyDescent="0.2">
      <c r="A9" t="s">
        <v>85</v>
      </c>
      <c r="B9" t="s">
        <v>86</v>
      </c>
      <c r="C9" s="9">
        <v>43900</v>
      </c>
      <c r="D9" s="9">
        <v>14800</v>
      </c>
    </row>
    <row r="10" spans="1:4" x14ac:dyDescent="0.2">
      <c r="A10" t="s">
        <v>87</v>
      </c>
      <c r="B10" t="s">
        <v>79</v>
      </c>
      <c r="C10" s="9">
        <v>123700</v>
      </c>
      <c r="D10" s="9">
        <v>50600</v>
      </c>
    </row>
    <row r="11" spans="1:4" x14ac:dyDescent="0.2">
      <c r="A11" t="s">
        <v>88</v>
      </c>
      <c r="B11" t="s">
        <v>79</v>
      </c>
      <c r="C11" s="9">
        <v>82200</v>
      </c>
      <c r="D11" s="9">
        <v>40500</v>
      </c>
    </row>
    <row r="12" spans="1:4" x14ac:dyDescent="0.2">
      <c r="A12" t="s">
        <v>89</v>
      </c>
      <c r="B12" t="s">
        <v>82</v>
      </c>
      <c r="C12" s="9">
        <v>82700</v>
      </c>
      <c r="D12" s="9">
        <v>41000</v>
      </c>
    </row>
    <row r="13" spans="1:4" x14ac:dyDescent="0.2">
      <c r="A13" t="s">
        <v>90</v>
      </c>
      <c r="B13" t="s">
        <v>84</v>
      </c>
      <c r="C13" s="9">
        <v>97300</v>
      </c>
      <c r="D13" s="9">
        <v>30900</v>
      </c>
    </row>
    <row r="14" spans="1:4" x14ac:dyDescent="0.2">
      <c r="A14" t="s">
        <v>91</v>
      </c>
      <c r="B14" t="s">
        <v>86</v>
      </c>
      <c r="C14" s="9">
        <v>120900</v>
      </c>
      <c r="D14" s="9">
        <v>31300</v>
      </c>
    </row>
    <row r="15" spans="1:4" x14ac:dyDescent="0.2">
      <c r="A15" t="s">
        <v>92</v>
      </c>
      <c r="B15" t="s">
        <v>79</v>
      </c>
      <c r="C15" s="9">
        <v>33900</v>
      </c>
      <c r="D15" s="9">
        <v>13500</v>
      </c>
    </row>
    <row r="16" spans="1:4" x14ac:dyDescent="0.2">
      <c r="A16" t="s">
        <v>93</v>
      </c>
      <c r="B16" t="s">
        <v>79</v>
      </c>
      <c r="C16" s="9">
        <v>46200</v>
      </c>
      <c r="D16" s="9">
        <v>12000</v>
      </c>
    </row>
    <row r="17" spans="1:4" x14ac:dyDescent="0.2">
      <c r="A17" t="s">
        <v>94</v>
      </c>
      <c r="B17" t="s">
        <v>82</v>
      </c>
      <c r="C17" s="9">
        <v>53700</v>
      </c>
      <c r="D17" s="9">
        <v>13700</v>
      </c>
    </row>
    <row r="18" spans="1:4" x14ac:dyDescent="0.2">
      <c r="A18" t="s">
        <v>95</v>
      </c>
      <c r="B18" t="s">
        <v>84</v>
      </c>
      <c r="C18" s="9">
        <v>106300</v>
      </c>
      <c r="D18" s="9">
        <v>29800</v>
      </c>
    </row>
    <row r="19" spans="1:4" x14ac:dyDescent="0.2">
      <c r="A19" t="s">
        <v>96</v>
      </c>
      <c r="B19" t="s">
        <v>86</v>
      </c>
      <c r="C19" s="9">
        <v>83300</v>
      </c>
      <c r="D19" s="9">
        <v>27900</v>
      </c>
    </row>
    <row r="20" spans="1:4" x14ac:dyDescent="0.2">
      <c r="A20" t="s">
        <v>97</v>
      </c>
      <c r="B20" t="s">
        <v>79</v>
      </c>
      <c r="C20" s="9">
        <v>61600</v>
      </c>
      <c r="D20" s="9">
        <v>25600</v>
      </c>
    </row>
    <row r="21" spans="1:4" x14ac:dyDescent="0.2">
      <c r="A21" t="s">
        <v>98</v>
      </c>
      <c r="B21" t="s">
        <v>79</v>
      </c>
      <c r="C21" s="9">
        <v>138300</v>
      </c>
      <c r="D21" s="9">
        <v>66500</v>
      </c>
    </row>
    <row r="22" spans="1:4" x14ac:dyDescent="0.2">
      <c r="A22" t="s">
        <v>99</v>
      </c>
      <c r="B22" t="s">
        <v>82</v>
      </c>
      <c r="C22" s="9">
        <v>67700</v>
      </c>
      <c r="D22" s="9">
        <v>29200</v>
      </c>
    </row>
    <row r="23" spans="1:4" x14ac:dyDescent="0.2">
      <c r="A23" t="s">
        <v>100</v>
      </c>
      <c r="B23" t="s">
        <v>84</v>
      </c>
      <c r="C23" s="9">
        <v>31400</v>
      </c>
      <c r="D23" s="9">
        <v>16900</v>
      </c>
    </row>
    <row r="24" spans="1:4" x14ac:dyDescent="0.2">
      <c r="A24" t="s">
        <v>101</v>
      </c>
      <c r="B24" t="s">
        <v>86</v>
      </c>
      <c r="C24" s="9">
        <v>55100</v>
      </c>
      <c r="D24" s="9">
        <v>17400</v>
      </c>
    </row>
    <row r="25" spans="1:4" x14ac:dyDescent="0.2">
      <c r="A25" t="s">
        <v>102</v>
      </c>
      <c r="B25" t="s">
        <v>79</v>
      </c>
      <c r="C25" s="9">
        <v>79100</v>
      </c>
      <c r="D25" s="9">
        <v>31500</v>
      </c>
    </row>
    <row r="26" spans="1:4" x14ac:dyDescent="0.2">
      <c r="A26" t="s">
        <v>103</v>
      </c>
      <c r="B26" t="s">
        <v>79</v>
      </c>
      <c r="C26" s="9">
        <v>74100</v>
      </c>
      <c r="D26" s="9">
        <v>38400</v>
      </c>
    </row>
    <row r="27" spans="1:4" x14ac:dyDescent="0.2">
      <c r="A27" t="s">
        <v>104</v>
      </c>
      <c r="B27" t="s">
        <v>82</v>
      </c>
      <c r="C27" s="9">
        <v>139600</v>
      </c>
      <c r="D27" s="9">
        <v>54800</v>
      </c>
    </row>
    <row r="28" spans="1:4" x14ac:dyDescent="0.2">
      <c r="A28" t="s">
        <v>105</v>
      </c>
      <c r="B28" t="s">
        <v>84</v>
      </c>
      <c r="C28" s="9">
        <v>35700</v>
      </c>
      <c r="D28" s="9">
        <v>14000</v>
      </c>
    </row>
    <row r="29" spans="1:4" x14ac:dyDescent="0.2">
      <c r="A29" t="s">
        <v>106</v>
      </c>
      <c r="B29" t="s">
        <v>86</v>
      </c>
      <c r="C29" s="9">
        <v>88400</v>
      </c>
      <c r="D29" s="9">
        <v>43500</v>
      </c>
    </row>
    <row r="30" spans="1:4" x14ac:dyDescent="0.2">
      <c r="A30" t="s">
        <v>107</v>
      </c>
      <c r="B30" t="s">
        <v>79</v>
      </c>
      <c r="C30" s="9">
        <v>88700</v>
      </c>
      <c r="D30" s="9">
        <v>24500</v>
      </c>
    </row>
    <row r="31" spans="1:4" x14ac:dyDescent="0.2">
      <c r="A31" t="s">
        <v>108</v>
      </c>
      <c r="B31" t="s">
        <v>79</v>
      </c>
      <c r="C31" s="9">
        <v>41800</v>
      </c>
      <c r="D31" s="9">
        <v>20600</v>
      </c>
    </row>
    <row r="32" spans="1:4" x14ac:dyDescent="0.2">
      <c r="A32" t="s">
        <v>109</v>
      </c>
      <c r="B32" t="s">
        <v>82</v>
      </c>
      <c r="C32" s="9">
        <v>77100</v>
      </c>
      <c r="D32" s="9">
        <v>39200</v>
      </c>
    </row>
    <row r="33" spans="1:4" x14ac:dyDescent="0.2">
      <c r="A33" t="s">
        <v>110</v>
      </c>
      <c r="B33" t="s">
        <v>84</v>
      </c>
      <c r="C33" s="9">
        <v>102400</v>
      </c>
      <c r="D33" s="9">
        <v>39900</v>
      </c>
    </row>
    <row r="34" spans="1:4" x14ac:dyDescent="0.2">
      <c r="A34" t="s">
        <v>111</v>
      </c>
      <c r="B34" t="s">
        <v>86</v>
      </c>
      <c r="C34" s="9">
        <v>24700</v>
      </c>
      <c r="D34" s="9">
        <v>11400</v>
      </c>
    </row>
    <row r="35" spans="1:4" x14ac:dyDescent="0.2">
      <c r="A35" t="s">
        <v>112</v>
      </c>
      <c r="B35" t="s">
        <v>79</v>
      </c>
      <c r="C35" s="9">
        <v>51600</v>
      </c>
      <c r="D35" s="9">
        <v>13100</v>
      </c>
    </row>
    <row r="36" spans="1:4" x14ac:dyDescent="0.2">
      <c r="A36" t="s">
        <v>113</v>
      </c>
      <c r="B36" t="s">
        <v>79</v>
      </c>
      <c r="C36" s="9">
        <v>50800</v>
      </c>
      <c r="D36" s="9">
        <v>15000</v>
      </c>
    </row>
    <row r="37" spans="1:4" x14ac:dyDescent="0.2">
      <c r="A37" t="s">
        <v>114</v>
      </c>
      <c r="B37" t="s">
        <v>82</v>
      </c>
      <c r="C37" s="9">
        <v>69300</v>
      </c>
      <c r="D37" s="9">
        <v>21200</v>
      </c>
    </row>
    <row r="38" spans="1:4" x14ac:dyDescent="0.2">
      <c r="A38" t="s">
        <v>115</v>
      </c>
      <c r="B38" t="s">
        <v>84</v>
      </c>
      <c r="C38" s="9">
        <v>78300</v>
      </c>
      <c r="D38" s="9">
        <v>36800</v>
      </c>
    </row>
    <row r="39" spans="1:4" x14ac:dyDescent="0.2">
      <c r="A39" t="s">
        <v>116</v>
      </c>
      <c r="B39" t="s">
        <v>86</v>
      </c>
      <c r="C39" s="9">
        <v>62500</v>
      </c>
      <c r="D39" s="9">
        <v>31300</v>
      </c>
    </row>
    <row r="40" spans="1:4" x14ac:dyDescent="0.2">
      <c r="A40" t="s">
        <v>117</v>
      </c>
      <c r="B40" t="s">
        <v>79</v>
      </c>
      <c r="C40" s="9">
        <v>124500</v>
      </c>
      <c r="D40" s="9">
        <v>60300</v>
      </c>
    </row>
    <row r="41" spans="1:4" x14ac:dyDescent="0.2">
      <c r="A41" t="s">
        <v>118</v>
      </c>
      <c r="B41" t="s">
        <v>79</v>
      </c>
      <c r="C41" s="9">
        <v>132600</v>
      </c>
      <c r="D41" s="9">
        <v>40600</v>
      </c>
    </row>
    <row r="42" spans="1:4" x14ac:dyDescent="0.2">
      <c r="A42" t="s">
        <v>119</v>
      </c>
      <c r="B42" t="s">
        <v>82</v>
      </c>
      <c r="C42" s="9">
        <v>36500</v>
      </c>
      <c r="D42" s="9">
        <v>17800</v>
      </c>
    </row>
    <row r="43" spans="1:4" x14ac:dyDescent="0.2">
      <c r="A43" t="s">
        <v>120</v>
      </c>
      <c r="B43" t="s">
        <v>84</v>
      </c>
      <c r="C43" s="9">
        <v>36400</v>
      </c>
      <c r="D43" s="9">
        <v>11700</v>
      </c>
    </row>
    <row r="44" spans="1:4" x14ac:dyDescent="0.2">
      <c r="A44" t="s">
        <v>121</v>
      </c>
      <c r="B44" t="s">
        <v>86</v>
      </c>
      <c r="C44" s="9">
        <v>96700</v>
      </c>
      <c r="D44" s="9">
        <v>41500</v>
      </c>
    </row>
    <row r="45" spans="1:4" x14ac:dyDescent="0.2">
      <c r="A45" t="s">
        <v>122</v>
      </c>
      <c r="B45" t="s">
        <v>79</v>
      </c>
      <c r="C45" s="9">
        <v>58200</v>
      </c>
      <c r="D45" s="9">
        <v>17000</v>
      </c>
    </row>
    <row r="46" spans="1:4" x14ac:dyDescent="0.2">
      <c r="A46" t="s">
        <v>123</v>
      </c>
      <c r="B46" t="s">
        <v>79</v>
      </c>
      <c r="C46" s="9">
        <v>128300</v>
      </c>
      <c r="D46" s="9">
        <v>63900</v>
      </c>
    </row>
    <row r="47" spans="1:4" x14ac:dyDescent="0.2">
      <c r="A47" t="s">
        <v>124</v>
      </c>
      <c r="B47" t="s">
        <v>82</v>
      </c>
      <c r="C47" s="9">
        <v>120000</v>
      </c>
      <c r="D47" s="9">
        <v>51600</v>
      </c>
    </row>
    <row r="48" spans="1:4" x14ac:dyDescent="0.2">
      <c r="A48" t="s">
        <v>125</v>
      </c>
      <c r="B48" t="s">
        <v>84</v>
      </c>
      <c r="C48" s="9">
        <v>114900</v>
      </c>
      <c r="D48" s="9">
        <v>37000</v>
      </c>
    </row>
    <row r="49" spans="1:4" x14ac:dyDescent="0.2">
      <c r="A49" t="s">
        <v>126</v>
      </c>
      <c r="B49" t="s">
        <v>86</v>
      </c>
      <c r="C49" s="9">
        <v>131800</v>
      </c>
      <c r="D49" s="9">
        <v>65000</v>
      </c>
    </row>
    <row r="50" spans="1:4" x14ac:dyDescent="0.2">
      <c r="A50" s="12" t="s">
        <v>127</v>
      </c>
      <c r="B50" s="12"/>
      <c r="C50" s="13">
        <f>SUM(C5:C44)</f>
        <v>3124900</v>
      </c>
      <c r="D50" s="13">
        <f>SUM(D5:D49)</f>
        <v>1489500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Summary</vt:lpstr>
      <vt:lpstr>Forecast</vt:lpstr>
      <vt:lpstr>Cash</vt:lpstr>
      <vt:lpstr>Assumptions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Growth_Rate</vt:lpstr>
      <vt:lpstr>OpeningCash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FY27 Rolling Forecast</dc:title>
  <dc:creator>Karan Malhotra</dc:creator>
  <cp:lastModifiedBy>Akshat Kharbanda</cp:lastModifiedBy>
  <dcterms:created xsi:type="dcterms:W3CDTF">2026-09-14T09:30:00Z</dcterms:created>
  <dcterms:modified xsi:type="dcterms:W3CDTF">2026-10-27T16:21:51Z</dcterms:modified>
</cp:coreProperties>
</file>