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divyaanshkharbanda/Desktop/claude-playground/reverse-engineer-sheets/samples/control/"/>
    </mc:Choice>
  </mc:AlternateContent>
  <xr:revisionPtr revIDLastSave="0" documentId="8_{9E217553-9BC2-2C4B-8B38-3112E2F66529}" xr6:coauthVersionLast="47" xr6:coauthVersionMax="47" xr10:uidLastSave="{00000000-0000-0000-0000-000000000000}"/>
  <bookViews>
    <workbookView xWindow="0" yWindow="600" windowWidth="44800" windowHeight="22820" activeTab="3" xr2:uid="{00000000-000D-0000-FFFF-FFFF00000000}"/>
  </bookViews>
  <sheets>
    <sheet name="Assumptions" sheetId="1" r:id="rId1"/>
    <sheet name="Teams" sheetId="2" r:id="rId2"/>
    <sheet name="Calc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C6" i="3"/>
  <c r="G6" i="3" s="1"/>
  <c r="A6" i="3"/>
  <c r="B6" i="3" s="1"/>
  <c r="A8" i="4" s="1"/>
  <c r="D5" i="3"/>
  <c r="C5" i="3"/>
  <c r="G5" i="3" s="1"/>
  <c r="A5" i="3"/>
  <c r="B5" i="3" s="1"/>
  <c r="A7" i="4" s="1"/>
  <c r="D4" i="3"/>
  <c r="C4" i="3"/>
  <c r="G4" i="3" s="1"/>
  <c r="A4" i="3"/>
  <c r="B4" i="3" s="1"/>
  <c r="A6" i="4" s="1"/>
  <c r="D3" i="3"/>
  <c r="C3" i="3"/>
  <c r="G3" i="3" s="1"/>
  <c r="A3" i="3"/>
  <c r="B3" i="3" s="1"/>
  <c r="A5" i="4" s="1"/>
  <c r="D2" i="3"/>
  <c r="C2" i="3"/>
  <c r="G2" i="3" s="1"/>
  <c r="A2" i="3"/>
  <c r="B2" i="3" s="1"/>
  <c r="A4" i="4" s="1"/>
  <c r="E6" i="3" l="1"/>
  <c r="H6" i="3" s="1"/>
  <c r="B8" i="4" s="1"/>
  <c r="F2" i="3"/>
  <c r="F3" i="3"/>
  <c r="H3" i="3" s="1"/>
  <c r="B5" i="4" s="1"/>
  <c r="F4" i="3"/>
  <c r="F5" i="3"/>
  <c r="F6" i="3"/>
  <c r="E2" i="3"/>
  <c r="H2" i="3" s="1"/>
  <c r="B4" i="4" s="1"/>
  <c r="E3" i="3"/>
  <c r="E5" i="3"/>
  <c r="H5" i="3" s="1"/>
  <c r="B7" i="4" s="1"/>
  <c r="B11" i="4"/>
  <c r="E4" i="3"/>
  <c r="H4" i="3" s="1"/>
  <c r="B6" i="4" s="1"/>
  <c r="B10" i="4" l="1"/>
  <c r="B12" i="4" s="1"/>
  <c r="C4" i="4"/>
  <c r="C5" i="4"/>
  <c r="C7" i="4"/>
  <c r="C8" i="4"/>
  <c r="C6" i="4" l="1"/>
</calcChain>
</file>

<file path=xl/sharedStrings.xml><?xml version="1.0" encoding="utf-8"?>
<sst xmlns="http://schemas.openxmlformats.org/spreadsheetml/2006/main" count="34" uniqueCount="29">
  <si>
    <t>FY27 Team Budget - Summary</t>
  </si>
  <si>
    <t>Team</t>
  </si>
  <si>
    <t>Total cost</t>
  </si>
  <si>
    <t>Share of total</t>
  </si>
  <si>
    <t>Total</t>
  </si>
  <si>
    <t>Total headcount</t>
  </si>
  <si>
    <t>Cost per head</t>
  </si>
  <si>
    <t>Assumptions</t>
  </si>
  <si>
    <t>Benefits load (% of salary)</t>
  </si>
  <si>
    <t>Travel per head (annual)</t>
  </si>
  <si>
    <t>Software per head (annual)</t>
  </si>
  <si>
    <t>Merit increase</t>
  </si>
  <si>
    <t>Code</t>
  </si>
  <si>
    <t>Headcount</t>
  </si>
  <si>
    <t>Avg Salary</t>
  </si>
  <si>
    <t>ENG</t>
  </si>
  <si>
    <t>Engineering</t>
  </si>
  <si>
    <t>SAL</t>
  </si>
  <si>
    <t>Sales</t>
  </si>
  <si>
    <t>MKT</t>
  </si>
  <si>
    <t>Marketing</t>
  </si>
  <si>
    <t>OPS</t>
  </si>
  <si>
    <t>Operations</t>
  </si>
  <si>
    <t>FIN</t>
  </si>
  <si>
    <t>Finance</t>
  </si>
  <si>
    <t>Salary cost</t>
  </si>
  <si>
    <t>Benefits</t>
  </si>
  <si>
    <t>Travel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</si>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</sst>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2" fillId="2" borderId="0" xfId="0" applyFont="1" applyFill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cols>
    <col min="1" max="1" width="30" customWidth="1"/>
    <col min="2" max="2" width="12" customWidth="1"/>
  </cols>
  <sheetData>
    <row r="1" spans="1:2" ht="19" x14ac:dyDescent="0.25">
      <c r="A1" s="1" t="s">
        <v>7</v>
      </c>
    </row>
    <row r="3" spans="1:2" x14ac:dyDescent="0.2">
      <c r="A3" t="s">
        <v>8</v>
      </c>
      <c r="B3" s="2">
        <v>0.22</v>
      </c>
    </row>
    <row r="4" spans="1:2" x14ac:dyDescent="0.2">
      <c r="A4" t="s">
        <v>9</v>
      </c>
      <c r="B4" s="3">
        <v>6500</v>
      </c>
    </row>
    <row r="5" spans="1:2" x14ac:dyDescent="0.2">
      <c r="A5" t="s">
        <v>10</v>
      </c>
      <c r="B5" s="3">
        <v>2400</v>
      </c>
    </row>
    <row r="6" spans="1:2" x14ac:dyDescent="0.2">
      <c r="A6" t="s">
        <v>11</v>
      </c>
      <c r="B6" s="2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cols>
    <col min="1" max="1" width="8" customWidth="1"/>
    <col min="2" max="2" width="14" customWidth="1"/>
    <col min="3" max="3" width="11" customWidth="1"/>
    <col min="4" max="4" width="12" customWidth="1"/>
  </cols>
  <sheetData>
    <row r="1" spans="1:4" x14ac:dyDescent="0.2">
      <c r="A1" s="4" t="s">
        <v>12</v>
      </c>
      <c r="B1" s="4" t="s">
        <v>1</v>
      </c>
      <c r="C1" s="4" t="s">
        <v>13</v>
      </c>
      <c r="D1" s="4" t="s">
        <v>14</v>
      </c>
    </row>
    <row r="2" spans="1:4" x14ac:dyDescent="0.2">
      <c r="A2" t="s">
        <v>15</v>
      </c>
      <c r="B2" t="s">
        <v>16</v>
      </c>
      <c r="C2">
        <v>14</v>
      </c>
      <c r="D2" s="3">
        <v>145000</v>
      </c>
    </row>
    <row r="3" spans="1:4" x14ac:dyDescent="0.2">
      <c r="A3" t="s">
        <v>17</v>
      </c>
      <c r="B3" t="s">
        <v>18</v>
      </c>
      <c r="C3">
        <v>9</v>
      </c>
      <c r="D3" s="3">
        <v>98000</v>
      </c>
    </row>
    <row r="4" spans="1:4" x14ac:dyDescent="0.2">
      <c r="A4" t="s">
        <v>19</v>
      </c>
      <c r="B4" t="s">
        <v>20</v>
      </c>
      <c r="C4">
        <v>5</v>
      </c>
      <c r="D4" s="3">
        <v>91000</v>
      </c>
    </row>
    <row r="5" spans="1:4" x14ac:dyDescent="0.2">
      <c r="A5" t="s">
        <v>21</v>
      </c>
      <c r="B5" t="s">
        <v>22</v>
      </c>
      <c r="C5">
        <v>6</v>
      </c>
      <c r="D5" s="3">
        <v>76000</v>
      </c>
    </row>
    <row r="6" spans="1:4" x14ac:dyDescent="0.2">
      <c r="A6" t="s">
        <v>23</v>
      </c>
      <c r="B6" t="s">
        <v>24</v>
      </c>
      <c r="C6">
        <v>3</v>
      </c>
      <c r="D6" s="3">
        <v>104000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baseColWidth="10" defaultColWidth="8.83203125" defaultRowHeight="15" x14ac:dyDescent="0.2"/>
  <cols>
    <col min="1" max="8" width="13" customWidth="1"/>
  </cols>
  <sheetData>
    <row r="1" spans="1:8" x14ac:dyDescent="0.2">
      <c r="A1" s="4" t="s">
        <v>12</v>
      </c>
      <c r="B1" s="4" t="s">
        <v>1</v>
      </c>
      <c r="C1" s="4" t="s">
        <v>13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</v>
      </c>
    </row>
    <row r="2" spans="1:8" x14ac:dyDescent="0.2">
      <c r="A2" t="str">
        <f>Teams!A2</f>
        <v>ENG</v>
      </c>
      <c r="B2" t="str">
        <f>INDEX(Teams!$B$2:$B$6,MATCH(A2,Teams!$A$2:$A$6,0))</f>
        <v>Engineering</v>
      </c>
      <c r="C2">
        <f>Teams!C2</f>
        <v>14</v>
      </c>
      <c r="D2" s="5">
        <f>C2*Teams!D2*(1+Assumptions!$B$6)</f>
        <v>2111200</v>
      </c>
      <c r="E2" s="5">
        <f>D2*Assumptions!$B$3</f>
        <v>464464</v>
      </c>
      <c r="F2" s="5">
        <f>C2*Assumptions!$B$4</f>
        <v>91000</v>
      </c>
      <c r="G2" s="5">
        <f>C2*Assumptions!$B$5</f>
        <v>33600</v>
      </c>
      <c r="H2" s="5">
        <f>ROUND(SUM(D2:G2),2)</f>
        <v>2700264</v>
      </c>
    </row>
    <row r="3" spans="1:8" x14ac:dyDescent="0.2">
      <c r="A3" t="str">
        <f>Teams!A3</f>
        <v>SAL</v>
      </c>
      <c r="B3" t="str">
        <f>INDEX(Teams!$B$2:$B$6,MATCH(A3,Teams!$A$2:$A$6,0))</f>
        <v>Sales</v>
      </c>
      <c r="C3">
        <f>Teams!C3</f>
        <v>9</v>
      </c>
      <c r="D3" s="5">
        <f>C3*Teams!D3*(1+Assumptions!$B$6)</f>
        <v>917280</v>
      </c>
      <c r="E3" s="5">
        <f>D3*Assumptions!$B$3</f>
        <v>201801.60000000001</v>
      </c>
      <c r="F3" s="5">
        <f>C3*Assumptions!$B$4</f>
        <v>58500</v>
      </c>
      <c r="G3" s="5">
        <f>C3*Assumptions!$B$5</f>
        <v>21600</v>
      </c>
      <c r="H3" s="5">
        <f>ROUND(SUM(D3:G3),2)</f>
        <v>1199181.6000000001</v>
      </c>
    </row>
    <row r="4" spans="1:8" x14ac:dyDescent="0.2">
      <c r="A4" t="str">
        <f>Teams!A4</f>
        <v>MKT</v>
      </c>
      <c r="B4" t="str">
        <f>INDEX(Teams!$B$2:$B$6,MATCH(A4,Teams!$A$2:$A$6,0))</f>
        <v>Marketing</v>
      </c>
      <c r="C4">
        <f>Teams!C4</f>
        <v>5</v>
      </c>
      <c r="D4" s="5">
        <f>C4*Teams!D4*(1+Assumptions!$B$6)</f>
        <v>473200</v>
      </c>
      <c r="E4" s="5">
        <f>D4*Assumptions!$B$3</f>
        <v>104104</v>
      </c>
      <c r="F4" s="5">
        <f>C4*Assumptions!$B$4</f>
        <v>32500</v>
      </c>
      <c r="G4" s="5">
        <f>C4*Assumptions!$B$5</f>
        <v>12000</v>
      </c>
      <c r="H4" s="5">
        <f>ROUND(SUM(D4:G4),2)</f>
        <v>621804</v>
      </c>
    </row>
    <row r="5" spans="1:8" x14ac:dyDescent="0.2">
      <c r="A5" t="str">
        <f>Teams!A5</f>
        <v>OPS</v>
      </c>
      <c r="B5" t="str">
        <f>INDEX(Teams!$B$2:$B$6,MATCH(A5,Teams!$A$2:$A$6,0))</f>
        <v>Operations</v>
      </c>
      <c r="C5">
        <f>Teams!C5</f>
        <v>6</v>
      </c>
      <c r="D5" s="5">
        <f>C5*Teams!D5*(1+Assumptions!$B$6)</f>
        <v>474240</v>
      </c>
      <c r="E5" s="5">
        <f>D5*Assumptions!$B$3</f>
        <v>104332.8</v>
      </c>
      <c r="F5" s="5">
        <f>C5*Assumptions!$B$4</f>
        <v>39000</v>
      </c>
      <c r="G5" s="5">
        <f>C5*Assumptions!$B$5</f>
        <v>14400</v>
      </c>
      <c r="H5" s="5">
        <f>ROUND(SUM(D5:G5),2)</f>
        <v>631972.80000000005</v>
      </c>
    </row>
    <row r="6" spans="1:8" x14ac:dyDescent="0.2">
      <c r="A6" t="str">
        <f>Teams!A6</f>
        <v>FIN</v>
      </c>
      <c r="B6" t="str">
        <f>INDEX(Teams!$B$2:$B$6,MATCH(A6,Teams!$A$2:$A$6,0))</f>
        <v>Finance</v>
      </c>
      <c r="C6">
        <f>Teams!C6</f>
        <v>3</v>
      </c>
      <c r="D6" s="5">
        <f>C6*Teams!D6*(1+Assumptions!$B$6)</f>
        <v>324480</v>
      </c>
      <c r="E6" s="5">
        <f>D6*Assumptions!$B$3</f>
        <v>71385.600000000006</v>
      </c>
      <c r="F6" s="5">
        <f>C6*Assumptions!$B$4</f>
        <v>19500</v>
      </c>
      <c r="G6" s="5">
        <f>C6*Assumptions!$B$5</f>
        <v>7200</v>
      </c>
      <c r="H6" s="5">
        <f>ROUND(SUM(D6:G6),2)</f>
        <v>422565.6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3" width="14" customWidth="1"/>
  </cols>
  <sheetData>
    <row r="1" spans="1:3" ht="19" x14ac:dyDescent="0.25">
      <c r="A1" s="1" t="s">
        <v>0</v>
      </c>
    </row>
    <row r="3" spans="1:3" x14ac:dyDescent="0.2">
      <c r="A3" s="4" t="s">
        <v>1</v>
      </c>
      <c r="B3" s="4" t="s">
        <v>2</v>
      </c>
      <c r="C3" s="4" t="s">
        <v>3</v>
      </c>
    </row>
    <row r="4" spans="1:3" x14ac:dyDescent="0.2">
      <c r="A4" t="str">
        <f>Calc!B2</f>
        <v>Engineering</v>
      </c>
      <c r="B4" s="3">
        <f>Calc!H2</f>
        <v>2700264</v>
      </c>
      <c r="C4" s="2">
        <f>B4/$B$10</f>
        <v>0.48428383575559192</v>
      </c>
    </row>
    <row r="5" spans="1:3" x14ac:dyDescent="0.2">
      <c r="A5" t="str">
        <f>Calc!B3</f>
        <v>Sales</v>
      </c>
      <c r="B5" s="3">
        <f>Calc!H3</f>
        <v>1199181.6000000001</v>
      </c>
      <c r="C5" s="2">
        <f>B5/$B$10</f>
        <v>0.2150694395124062</v>
      </c>
    </row>
    <row r="6" spans="1:3" x14ac:dyDescent="0.2">
      <c r="A6" t="str">
        <f>Calc!B4</f>
        <v>Marketing</v>
      </c>
      <c r="B6" s="3">
        <f>Calc!H4</f>
        <v>621804</v>
      </c>
      <c r="C6" s="2">
        <f>B6/$B$10</f>
        <v>0.11151858714857883</v>
      </c>
    </row>
    <row r="7" spans="1:3" x14ac:dyDescent="0.2">
      <c r="A7" t="str">
        <f>Calc!B5</f>
        <v>Operations</v>
      </c>
      <c r="B7" s="3">
        <f>Calc!H5</f>
        <v>631972.80000000005</v>
      </c>
      <c r="C7" s="2">
        <f>B7/$B$10</f>
        <v>0.11334232937120281</v>
      </c>
    </row>
    <row r="8" spans="1:3" x14ac:dyDescent="0.2">
      <c r="A8" t="str">
        <f>Calc!B6</f>
        <v>Finance</v>
      </c>
      <c r="B8" s="3">
        <f>Calc!H6</f>
        <v>422565.6</v>
      </c>
      <c r="C8" s="2">
        <f>B8/$B$10</f>
        <v>7.5785808212220418E-2</v>
      </c>
    </row>
    <row r="10" spans="1:3" x14ac:dyDescent="0.2">
      <c r="A10" s="6" t="s">
        <v>4</v>
      </c>
      <c r="B10" s="3">
        <f>SUM(B4:B8)</f>
        <v>5575787.9999999991</v>
      </c>
    </row>
    <row r="11" spans="1:3" x14ac:dyDescent="0.2">
      <c r="A11" t="s">
        <v>5</v>
      </c>
      <c r="B11">
        <f>SUM(Calc!C2:C6)</f>
        <v>37</v>
      </c>
    </row>
    <row r="12" spans="1:3" x14ac:dyDescent="0.2">
      <c r="A12" t="s">
        <v>6</v>
      </c>
      <c r="B12" s="3">
        <f>ROUND(B10/B11,2)</f>
        <v>150696.97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Teams</vt:lpstr>
      <vt:lpstr>Calc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Kharbanda</cp:lastModifiedBy>
  <dcterms:created xsi:type="dcterms:W3CDTF">2026-10-27T16:59:40Z</dcterms:created>
  <dcterms:modified xsi:type="dcterms:W3CDTF">2026-10-27T16:59:50Z</dcterms:modified>
</cp:coreProperties>
</file>