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3" codeName="{52B413DB-416B-A148-0A32-6202AF4EA34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ivyaanshkharbanda/Desktop/claude-playground/reverse-engineer-sheets/samples/"/>
    </mc:Choice>
  </mc:AlternateContent>
  <xr:revisionPtr revIDLastSave="0" documentId="8_{9534AE9B-4968-A344-8FF4-D781D2FE7797}" xr6:coauthVersionLast="47" xr6:coauthVersionMax="47" xr10:uidLastSave="{00000000-0000-0000-0000-000000000000}"/>
  <bookViews>
    <workbookView xWindow="0" yWindow="600" windowWidth="44800" windowHeight="22800" activeTab="3" xr2:uid="{00000000-000D-0000-FFFF-FFFF00000000}"/>
  </bookViews>
  <sheets>
    <sheet name="Inputs" sheetId="1" r:id="rId1"/>
    <sheet name="Rates" sheetId="2" r:id="rId2"/>
    <sheet name="Calc" sheetId="3" r:id="rId3"/>
    <sheet name="Summary" sheetId="4" r:id="rId4"/>
    <sheet name="old_rates" sheetId="5" state="hidden" r:id="rId5"/>
    <sheet name="adj" sheetId="6" state="veryHidden" r:id="rId6"/>
  </sheets>
  <definedNames>
    <definedName name="_xlnm._FilterDatabase" localSheetId="0" hidden="1">Inputs!$A$1:$H$61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1" i="3" l="1"/>
  <c r="M61" i="3"/>
  <c r="H61" i="3"/>
  <c r="G61" i="3"/>
  <c r="I61" i="3" s="1"/>
  <c r="F61" i="3"/>
  <c r="E61" i="3"/>
  <c r="D61" i="3"/>
  <c r="J61" i="3" s="1"/>
  <c r="C61" i="3"/>
  <c r="B61" i="3"/>
  <c r="A61" i="3"/>
  <c r="Q60" i="3"/>
  <c r="P60" i="3"/>
  <c r="O60" i="3"/>
  <c r="M60" i="3"/>
  <c r="J60" i="3"/>
  <c r="H60" i="3"/>
  <c r="F60" i="3"/>
  <c r="E60" i="3"/>
  <c r="D60" i="3"/>
  <c r="C60" i="3"/>
  <c r="G60" i="3" s="1"/>
  <c r="I60" i="3" s="1"/>
  <c r="B60" i="3"/>
  <c r="A60" i="3"/>
  <c r="O59" i="3"/>
  <c r="J59" i="3"/>
  <c r="G59" i="3"/>
  <c r="I59" i="3" s="1"/>
  <c r="F59" i="3"/>
  <c r="E59" i="3"/>
  <c r="D59" i="3"/>
  <c r="C59" i="3"/>
  <c r="B59" i="3"/>
  <c r="A59" i="3"/>
  <c r="M58" i="3"/>
  <c r="J58" i="3"/>
  <c r="F58" i="3"/>
  <c r="E58" i="3"/>
  <c r="O58" i="3" s="1"/>
  <c r="D58" i="3"/>
  <c r="C58" i="3"/>
  <c r="B58" i="3"/>
  <c r="A58" i="3"/>
  <c r="M57" i="3"/>
  <c r="I57" i="3"/>
  <c r="H57" i="3"/>
  <c r="K57" i="3" s="1"/>
  <c r="L57" i="3" s="1"/>
  <c r="N57" i="3" s="1"/>
  <c r="G57" i="3"/>
  <c r="F57" i="3"/>
  <c r="E57" i="3"/>
  <c r="D57" i="3"/>
  <c r="J57" i="3" s="1"/>
  <c r="C57" i="3"/>
  <c r="B57" i="3"/>
  <c r="A57" i="3"/>
  <c r="P56" i="3"/>
  <c r="O56" i="3"/>
  <c r="M56" i="3"/>
  <c r="H56" i="3"/>
  <c r="K56" i="3" s="1"/>
  <c r="L56" i="3" s="1"/>
  <c r="N56" i="3" s="1"/>
  <c r="F56" i="3"/>
  <c r="E56" i="3"/>
  <c r="D56" i="3"/>
  <c r="J56" i="3" s="1"/>
  <c r="C56" i="3"/>
  <c r="G56" i="3" s="1"/>
  <c r="I56" i="3" s="1"/>
  <c r="B56" i="3"/>
  <c r="A56" i="3"/>
  <c r="Q55" i="3"/>
  <c r="P55" i="3"/>
  <c r="O55" i="3"/>
  <c r="M55" i="3"/>
  <c r="J55" i="3"/>
  <c r="F55" i="3"/>
  <c r="E55" i="3"/>
  <c r="D55" i="3"/>
  <c r="C55" i="3"/>
  <c r="B55" i="3"/>
  <c r="A55" i="3"/>
  <c r="M54" i="3"/>
  <c r="J54" i="3"/>
  <c r="F54" i="3"/>
  <c r="E54" i="3"/>
  <c r="Q54" i="3" s="1"/>
  <c r="D54" i="3"/>
  <c r="C54" i="3"/>
  <c r="B54" i="3"/>
  <c r="A54" i="3"/>
  <c r="Q53" i="3"/>
  <c r="O53" i="3"/>
  <c r="M53" i="3"/>
  <c r="H53" i="3"/>
  <c r="G53" i="3"/>
  <c r="I53" i="3" s="1"/>
  <c r="F53" i="3"/>
  <c r="E53" i="3"/>
  <c r="D53" i="3"/>
  <c r="J53" i="3" s="1"/>
  <c r="C53" i="3"/>
  <c r="B53" i="3"/>
  <c r="A53" i="3"/>
  <c r="Q52" i="3"/>
  <c r="P52" i="3"/>
  <c r="O52" i="3"/>
  <c r="M52" i="3"/>
  <c r="J52" i="3"/>
  <c r="H52" i="3"/>
  <c r="K52" i="3" s="1"/>
  <c r="L52" i="3" s="1"/>
  <c r="N52" i="3" s="1"/>
  <c r="G52" i="3"/>
  <c r="I52" i="3" s="1"/>
  <c r="F52" i="3"/>
  <c r="E52" i="3"/>
  <c r="D52" i="3"/>
  <c r="C52" i="3"/>
  <c r="B52" i="3"/>
  <c r="A52" i="3"/>
  <c r="M51" i="3"/>
  <c r="J51" i="3"/>
  <c r="F51" i="3"/>
  <c r="E51" i="3"/>
  <c r="D51" i="3"/>
  <c r="C51" i="3"/>
  <c r="B51" i="3"/>
  <c r="A51" i="3"/>
  <c r="P50" i="3"/>
  <c r="M50" i="3"/>
  <c r="J50" i="3"/>
  <c r="F50" i="3"/>
  <c r="H50" i="3" s="1"/>
  <c r="E50" i="3"/>
  <c r="O50" i="3" s="1"/>
  <c r="D50" i="3"/>
  <c r="C50" i="3"/>
  <c r="B50" i="3"/>
  <c r="A50" i="3"/>
  <c r="P49" i="3"/>
  <c r="M49" i="3"/>
  <c r="H49" i="3"/>
  <c r="F49" i="3"/>
  <c r="E49" i="3"/>
  <c r="D49" i="3"/>
  <c r="J49" i="3" s="1"/>
  <c r="C49" i="3"/>
  <c r="G49" i="3" s="1"/>
  <c r="I49" i="3" s="1"/>
  <c r="K49" i="3" s="1"/>
  <c r="L49" i="3" s="1"/>
  <c r="N49" i="3" s="1"/>
  <c r="B49" i="3"/>
  <c r="A49" i="3"/>
  <c r="P48" i="3"/>
  <c r="O48" i="3"/>
  <c r="M48" i="3"/>
  <c r="H48" i="3"/>
  <c r="F48" i="3"/>
  <c r="G48" i="3" s="1"/>
  <c r="I48" i="3" s="1"/>
  <c r="K48" i="3" s="1"/>
  <c r="L48" i="3" s="1"/>
  <c r="N48" i="3" s="1"/>
  <c r="E48" i="3"/>
  <c r="D48" i="3"/>
  <c r="J48" i="3" s="1"/>
  <c r="C48" i="3"/>
  <c r="B48" i="3"/>
  <c r="A48" i="3"/>
  <c r="Q47" i="3"/>
  <c r="P47" i="3"/>
  <c r="O47" i="3"/>
  <c r="J47" i="3"/>
  <c r="F47" i="3"/>
  <c r="E47" i="3"/>
  <c r="D47" i="3"/>
  <c r="C47" i="3"/>
  <c r="B47" i="3"/>
  <c r="A47" i="3"/>
  <c r="M46" i="3"/>
  <c r="J46" i="3"/>
  <c r="F46" i="3"/>
  <c r="E46" i="3"/>
  <c r="D46" i="3"/>
  <c r="C46" i="3"/>
  <c r="B46" i="3"/>
  <c r="A46" i="3"/>
  <c r="O45" i="3"/>
  <c r="M45" i="3"/>
  <c r="I45" i="3"/>
  <c r="H45" i="3"/>
  <c r="G45" i="3"/>
  <c r="F45" i="3"/>
  <c r="E45" i="3"/>
  <c r="D45" i="3"/>
  <c r="J45" i="3" s="1"/>
  <c r="C45" i="3"/>
  <c r="B45" i="3"/>
  <c r="A45" i="3"/>
  <c r="Q44" i="3"/>
  <c r="P44" i="3"/>
  <c r="O44" i="3"/>
  <c r="M44" i="3"/>
  <c r="H44" i="3"/>
  <c r="G44" i="3"/>
  <c r="I44" i="3" s="1"/>
  <c r="K44" i="3" s="1"/>
  <c r="L44" i="3" s="1"/>
  <c r="N44" i="3" s="1"/>
  <c r="F44" i="3"/>
  <c r="E44" i="3"/>
  <c r="D44" i="3"/>
  <c r="J44" i="3" s="1"/>
  <c r="C44" i="3"/>
  <c r="B44" i="3"/>
  <c r="A44" i="3"/>
  <c r="O43" i="3"/>
  <c r="J43" i="3"/>
  <c r="F43" i="3"/>
  <c r="E43" i="3"/>
  <c r="D43" i="3"/>
  <c r="C43" i="3"/>
  <c r="G43" i="3" s="1"/>
  <c r="I43" i="3" s="1"/>
  <c r="B43" i="3"/>
  <c r="A43" i="3"/>
  <c r="J42" i="3"/>
  <c r="F42" i="3"/>
  <c r="E42" i="3"/>
  <c r="O42" i="3" s="1"/>
  <c r="D42" i="3"/>
  <c r="C42" i="3"/>
  <c r="B42" i="3"/>
  <c r="A42" i="3"/>
  <c r="P41" i="3"/>
  <c r="M41" i="3"/>
  <c r="I41" i="3"/>
  <c r="H41" i="3"/>
  <c r="K41" i="3" s="1"/>
  <c r="L41" i="3" s="1"/>
  <c r="N41" i="3" s="1"/>
  <c r="F41" i="3"/>
  <c r="E41" i="3"/>
  <c r="D41" i="3"/>
  <c r="J41" i="3" s="1"/>
  <c r="C41" i="3"/>
  <c r="G41" i="3" s="1"/>
  <c r="B41" i="3"/>
  <c r="A41" i="3"/>
  <c r="P40" i="3"/>
  <c r="O40" i="3"/>
  <c r="M40" i="3"/>
  <c r="F40" i="3"/>
  <c r="E40" i="3"/>
  <c r="D40" i="3"/>
  <c r="J40" i="3" s="1"/>
  <c r="C40" i="3"/>
  <c r="B40" i="3"/>
  <c r="A40" i="3"/>
  <c r="R39" i="3"/>
  <c r="P39" i="3"/>
  <c r="O39" i="3"/>
  <c r="M39" i="3"/>
  <c r="J39" i="3"/>
  <c r="G39" i="3"/>
  <c r="I39" i="3" s="1"/>
  <c r="F39" i="3"/>
  <c r="E39" i="3"/>
  <c r="D39" i="3"/>
  <c r="C39" i="3"/>
  <c r="B39" i="3"/>
  <c r="A39" i="3"/>
  <c r="M38" i="3"/>
  <c r="F38" i="3"/>
  <c r="E38" i="3"/>
  <c r="D38" i="3"/>
  <c r="J38" i="3" s="1"/>
  <c r="C38" i="3"/>
  <c r="B38" i="3"/>
  <c r="A38" i="3"/>
  <c r="O37" i="3"/>
  <c r="M37" i="3"/>
  <c r="I37" i="3"/>
  <c r="H37" i="3"/>
  <c r="G37" i="3"/>
  <c r="F37" i="3"/>
  <c r="E37" i="3"/>
  <c r="R37" i="3" s="1"/>
  <c r="D37" i="3"/>
  <c r="J37" i="3" s="1"/>
  <c r="C37" i="3"/>
  <c r="B37" i="3"/>
  <c r="A37" i="3"/>
  <c r="R36" i="3"/>
  <c r="P36" i="3"/>
  <c r="O36" i="3"/>
  <c r="M36" i="3"/>
  <c r="H36" i="3"/>
  <c r="G36" i="3"/>
  <c r="I36" i="3" s="1"/>
  <c r="F36" i="3"/>
  <c r="E36" i="3"/>
  <c r="D36" i="3"/>
  <c r="J36" i="3" s="1"/>
  <c r="K36" i="3" s="1"/>
  <c r="C36" i="3"/>
  <c r="B36" i="3"/>
  <c r="A36" i="3"/>
  <c r="O35" i="3"/>
  <c r="M35" i="3"/>
  <c r="J35" i="3"/>
  <c r="G35" i="3"/>
  <c r="I35" i="3" s="1"/>
  <c r="F35" i="3"/>
  <c r="E35" i="3"/>
  <c r="D35" i="3"/>
  <c r="C35" i="3"/>
  <c r="B35" i="3"/>
  <c r="A35" i="3"/>
  <c r="R34" i="3"/>
  <c r="M34" i="3"/>
  <c r="J34" i="3"/>
  <c r="F34" i="3"/>
  <c r="E34" i="3"/>
  <c r="O34" i="3" s="1"/>
  <c r="D34" i="3"/>
  <c r="C34" i="3"/>
  <c r="B34" i="3"/>
  <c r="A34" i="3"/>
  <c r="P33" i="3"/>
  <c r="M33" i="3"/>
  <c r="H33" i="3"/>
  <c r="F33" i="3"/>
  <c r="E33" i="3"/>
  <c r="D33" i="3"/>
  <c r="J33" i="3" s="1"/>
  <c r="C33" i="3"/>
  <c r="G33" i="3" s="1"/>
  <c r="I33" i="3" s="1"/>
  <c r="B33" i="3"/>
  <c r="A33" i="3"/>
  <c r="P32" i="3"/>
  <c r="O32" i="3"/>
  <c r="M32" i="3"/>
  <c r="H32" i="3"/>
  <c r="F32" i="3"/>
  <c r="E32" i="3"/>
  <c r="R32" i="3" s="1"/>
  <c r="D32" i="3"/>
  <c r="J32" i="3" s="1"/>
  <c r="C32" i="3"/>
  <c r="G32" i="3" s="1"/>
  <c r="I32" i="3" s="1"/>
  <c r="B32" i="3"/>
  <c r="A32" i="3"/>
  <c r="R31" i="3"/>
  <c r="P31" i="3"/>
  <c r="O31" i="3"/>
  <c r="M31" i="3"/>
  <c r="J31" i="3"/>
  <c r="F31" i="3"/>
  <c r="G31" i="3" s="1"/>
  <c r="I31" i="3" s="1"/>
  <c r="E31" i="3"/>
  <c r="D31" i="3"/>
  <c r="C31" i="3"/>
  <c r="B31" i="3"/>
  <c r="A31" i="3"/>
  <c r="M30" i="3"/>
  <c r="J30" i="3"/>
  <c r="F30" i="3"/>
  <c r="E30" i="3"/>
  <c r="D30" i="3"/>
  <c r="C30" i="3"/>
  <c r="B30" i="3"/>
  <c r="A30" i="3"/>
  <c r="M29" i="3"/>
  <c r="I29" i="3"/>
  <c r="H29" i="3"/>
  <c r="K29" i="3" s="1"/>
  <c r="L29" i="3" s="1"/>
  <c r="N29" i="3" s="1"/>
  <c r="G29" i="3"/>
  <c r="F29" i="3"/>
  <c r="E29" i="3"/>
  <c r="R29" i="3" s="1"/>
  <c r="D29" i="3"/>
  <c r="J29" i="3" s="1"/>
  <c r="C29" i="3"/>
  <c r="B29" i="3"/>
  <c r="A29" i="3"/>
  <c r="R28" i="3"/>
  <c r="P28" i="3"/>
  <c r="O28" i="3"/>
  <c r="M28" i="3"/>
  <c r="J28" i="3"/>
  <c r="K28" i="3" s="1"/>
  <c r="I28" i="3"/>
  <c r="H28" i="3"/>
  <c r="G28" i="3"/>
  <c r="F28" i="3"/>
  <c r="E28" i="3"/>
  <c r="D28" i="3"/>
  <c r="C28" i="3"/>
  <c r="B28" i="3"/>
  <c r="A28" i="3"/>
  <c r="M27" i="3"/>
  <c r="J27" i="3"/>
  <c r="F27" i="3"/>
  <c r="H27" i="3" s="1"/>
  <c r="E27" i="3"/>
  <c r="D27" i="3"/>
  <c r="C27" i="3"/>
  <c r="B27" i="3"/>
  <c r="A27" i="3"/>
  <c r="R26" i="3"/>
  <c r="M26" i="3"/>
  <c r="J26" i="3"/>
  <c r="H26" i="3"/>
  <c r="F26" i="3"/>
  <c r="E26" i="3"/>
  <c r="D26" i="3"/>
  <c r="C26" i="3"/>
  <c r="B26" i="3"/>
  <c r="A26" i="3"/>
  <c r="J25" i="3"/>
  <c r="H25" i="3"/>
  <c r="F25" i="3"/>
  <c r="E25" i="3"/>
  <c r="O25" i="3" s="1"/>
  <c r="D25" i="3"/>
  <c r="C25" i="3"/>
  <c r="G25" i="3" s="1"/>
  <c r="I25" i="3" s="1"/>
  <c r="K25" i="3" s="1"/>
  <c r="L25" i="3" s="1"/>
  <c r="B25" i="3"/>
  <c r="A25" i="3"/>
  <c r="M24" i="3"/>
  <c r="H24" i="3"/>
  <c r="K24" i="3" s="1"/>
  <c r="L24" i="3" s="1"/>
  <c r="N24" i="3" s="1"/>
  <c r="S24" i="3" s="1"/>
  <c r="G24" i="3"/>
  <c r="I24" i="3" s="1"/>
  <c r="F24" i="3"/>
  <c r="E24" i="3"/>
  <c r="D24" i="3"/>
  <c r="J24" i="3" s="1"/>
  <c r="C24" i="3"/>
  <c r="B24" i="3"/>
  <c r="A24" i="3"/>
  <c r="R23" i="3"/>
  <c r="P23" i="3"/>
  <c r="O23" i="3"/>
  <c r="M23" i="3"/>
  <c r="J23" i="3"/>
  <c r="F23" i="3"/>
  <c r="E23" i="3"/>
  <c r="D23" i="3"/>
  <c r="C23" i="3"/>
  <c r="B23" i="3"/>
  <c r="A23" i="3"/>
  <c r="M22" i="3"/>
  <c r="J22" i="3"/>
  <c r="F22" i="3"/>
  <c r="E22" i="3"/>
  <c r="D22" i="3"/>
  <c r="C22" i="3"/>
  <c r="B22" i="3"/>
  <c r="A22" i="3"/>
  <c r="Q21" i="3"/>
  <c r="M21" i="3"/>
  <c r="I21" i="3"/>
  <c r="H21" i="3"/>
  <c r="K21" i="3" s="1"/>
  <c r="L21" i="3" s="1"/>
  <c r="N21" i="3" s="1"/>
  <c r="S21" i="3" s="1"/>
  <c r="G21" i="3"/>
  <c r="F21" i="3"/>
  <c r="E21" i="3"/>
  <c r="R21" i="3" s="1"/>
  <c r="D21" i="3"/>
  <c r="J21" i="3" s="1"/>
  <c r="C21" i="3"/>
  <c r="B21" i="3"/>
  <c r="A21" i="3"/>
  <c r="R20" i="3"/>
  <c r="Q20" i="3"/>
  <c r="O20" i="3"/>
  <c r="M20" i="3"/>
  <c r="J20" i="3"/>
  <c r="K20" i="3" s="1"/>
  <c r="L20" i="3" s="1"/>
  <c r="N20" i="3" s="1"/>
  <c r="I20" i="3"/>
  <c r="H20" i="3"/>
  <c r="G20" i="3"/>
  <c r="F20" i="3"/>
  <c r="E20" i="3"/>
  <c r="D20" i="3"/>
  <c r="C20" i="3"/>
  <c r="B20" i="3"/>
  <c r="A20" i="3"/>
  <c r="M19" i="3"/>
  <c r="J19" i="3"/>
  <c r="F19" i="3"/>
  <c r="H19" i="3" s="1"/>
  <c r="E19" i="3"/>
  <c r="D19" i="3"/>
  <c r="C19" i="3"/>
  <c r="B19" i="3"/>
  <c r="A19" i="3"/>
  <c r="R18" i="3"/>
  <c r="M18" i="3"/>
  <c r="J18" i="3"/>
  <c r="H18" i="3"/>
  <c r="F18" i="3"/>
  <c r="E18" i="3"/>
  <c r="Q18" i="3" s="1"/>
  <c r="D18" i="3"/>
  <c r="C18" i="3"/>
  <c r="B18" i="3"/>
  <c r="A18" i="3"/>
  <c r="M17" i="3"/>
  <c r="J17" i="3"/>
  <c r="H17" i="3"/>
  <c r="F17" i="3"/>
  <c r="E17" i="3"/>
  <c r="O17" i="3" s="1"/>
  <c r="D17" i="3"/>
  <c r="C17" i="3"/>
  <c r="G17" i="3" s="1"/>
  <c r="I17" i="3" s="1"/>
  <c r="K17" i="3" s="1"/>
  <c r="L17" i="3" s="1"/>
  <c r="N17" i="3" s="1"/>
  <c r="S17" i="3" s="1"/>
  <c r="B17" i="3"/>
  <c r="A17" i="3"/>
  <c r="H16" i="3"/>
  <c r="K16" i="3" s="1"/>
  <c r="L16" i="3" s="1"/>
  <c r="G16" i="3"/>
  <c r="I16" i="3" s="1"/>
  <c r="F16" i="3"/>
  <c r="E16" i="3"/>
  <c r="D16" i="3"/>
  <c r="J16" i="3" s="1"/>
  <c r="C16" i="3"/>
  <c r="B16" i="3"/>
  <c r="A16" i="3"/>
  <c r="R15" i="3"/>
  <c r="Q15" i="3"/>
  <c r="O15" i="3"/>
  <c r="M15" i="3"/>
  <c r="J15" i="3"/>
  <c r="F15" i="3"/>
  <c r="E15" i="3"/>
  <c r="D15" i="3"/>
  <c r="C15" i="3"/>
  <c r="B15" i="3"/>
  <c r="A15" i="3"/>
  <c r="J14" i="3"/>
  <c r="F14" i="3"/>
  <c r="E14" i="3"/>
  <c r="D14" i="3"/>
  <c r="C14" i="3"/>
  <c r="B14" i="3"/>
  <c r="A14" i="3"/>
  <c r="Q13" i="3"/>
  <c r="M13" i="3"/>
  <c r="I13" i="3"/>
  <c r="H13" i="3"/>
  <c r="K13" i="3" s="1"/>
  <c r="L13" i="3" s="1"/>
  <c r="N13" i="3" s="1"/>
  <c r="S13" i="3" s="1"/>
  <c r="G13" i="3"/>
  <c r="F13" i="3"/>
  <c r="E13" i="3"/>
  <c r="R13" i="3" s="1"/>
  <c r="D13" i="3"/>
  <c r="J13" i="3" s="1"/>
  <c r="C13" i="3"/>
  <c r="B13" i="3"/>
  <c r="A13" i="3"/>
  <c r="R12" i="3"/>
  <c r="Q12" i="3"/>
  <c r="O12" i="3"/>
  <c r="M12" i="3"/>
  <c r="J12" i="3"/>
  <c r="H12" i="3"/>
  <c r="F12" i="3"/>
  <c r="E12" i="3"/>
  <c r="D12" i="3"/>
  <c r="C12" i="3"/>
  <c r="G12" i="3" s="1"/>
  <c r="I12" i="3" s="1"/>
  <c r="K12" i="3" s="1"/>
  <c r="L12" i="3" s="1"/>
  <c r="N12" i="3" s="1"/>
  <c r="B12" i="3"/>
  <c r="A12" i="3"/>
  <c r="M11" i="3"/>
  <c r="J11" i="3"/>
  <c r="F11" i="3"/>
  <c r="H11" i="3" s="1"/>
  <c r="E11" i="3"/>
  <c r="D11" i="3"/>
  <c r="C11" i="3"/>
  <c r="B11" i="3"/>
  <c r="A11" i="3"/>
  <c r="R10" i="3"/>
  <c r="O10" i="3"/>
  <c r="M10" i="3"/>
  <c r="J10" i="3"/>
  <c r="F10" i="3"/>
  <c r="H10" i="3" s="1"/>
  <c r="E10" i="3"/>
  <c r="Q10" i="3" s="1"/>
  <c r="D10" i="3"/>
  <c r="C10" i="3"/>
  <c r="B10" i="3"/>
  <c r="E9" i="4" s="1"/>
  <c r="A10" i="3"/>
  <c r="M9" i="3"/>
  <c r="I9" i="3"/>
  <c r="H9" i="3"/>
  <c r="G9" i="3"/>
  <c r="F9" i="3"/>
  <c r="E9" i="3"/>
  <c r="D9" i="3"/>
  <c r="J9" i="3" s="1"/>
  <c r="K9" i="3" s="1"/>
  <c r="L9" i="3" s="1"/>
  <c r="N9" i="3" s="1"/>
  <c r="S9" i="3" s="1"/>
  <c r="C9" i="3"/>
  <c r="B9" i="3"/>
  <c r="A9" i="3"/>
  <c r="M8" i="3"/>
  <c r="F8" i="3"/>
  <c r="E8" i="3"/>
  <c r="D8" i="3"/>
  <c r="J8" i="3" s="1"/>
  <c r="C8" i="3"/>
  <c r="B8" i="3"/>
  <c r="A8" i="3"/>
  <c r="R7" i="3"/>
  <c r="Q7" i="3"/>
  <c r="P7" i="3"/>
  <c r="M7" i="3"/>
  <c r="J7" i="3"/>
  <c r="H7" i="3"/>
  <c r="G7" i="3"/>
  <c r="I7" i="3" s="1"/>
  <c r="F7" i="3"/>
  <c r="E7" i="3"/>
  <c r="D7" i="3"/>
  <c r="C7" i="3"/>
  <c r="B7" i="3"/>
  <c r="A7" i="3"/>
  <c r="R6" i="3"/>
  <c r="Q6" i="3"/>
  <c r="M6" i="3"/>
  <c r="J6" i="3"/>
  <c r="H6" i="3"/>
  <c r="F6" i="3"/>
  <c r="E6" i="3"/>
  <c r="D6" i="3"/>
  <c r="C6" i="3"/>
  <c r="B6" i="3"/>
  <c r="A6" i="3"/>
  <c r="Q5" i="3"/>
  <c r="M5" i="3"/>
  <c r="J5" i="3"/>
  <c r="F5" i="3"/>
  <c r="H5" i="3" s="1"/>
  <c r="E5" i="3"/>
  <c r="R5" i="3" s="1"/>
  <c r="D5" i="3"/>
  <c r="C5" i="3"/>
  <c r="B5" i="3"/>
  <c r="A5" i="3"/>
  <c r="F4" i="3"/>
  <c r="E4" i="3"/>
  <c r="D4" i="3"/>
  <c r="J4" i="3" s="1"/>
  <c r="C4" i="3"/>
  <c r="B4" i="3"/>
  <c r="A4" i="3"/>
  <c r="R3" i="3"/>
  <c r="Q3" i="3"/>
  <c r="P3" i="3"/>
  <c r="M3" i="3"/>
  <c r="J3" i="3"/>
  <c r="I3" i="3"/>
  <c r="H3" i="3"/>
  <c r="G3" i="3"/>
  <c r="F3" i="3"/>
  <c r="E3" i="3"/>
  <c r="D3" i="3"/>
  <c r="C3" i="3"/>
  <c r="B3" i="3"/>
  <c r="A3" i="3"/>
  <c r="R2" i="3"/>
  <c r="M2" i="3"/>
  <c r="H2" i="3"/>
  <c r="F2" i="3"/>
  <c r="E2" i="3"/>
  <c r="Q2" i="3" s="1"/>
  <c r="D2" i="3"/>
  <c r="J2" i="3" s="1"/>
  <c r="C2" i="3"/>
  <c r="B2" i="3"/>
  <c r="A2" i="3"/>
  <c r="C25" i="4"/>
  <c r="P20" i="3" l="1"/>
  <c r="S20" i="3"/>
  <c r="M16" i="3"/>
  <c r="N16" i="3" s="1"/>
  <c r="K5" i="3"/>
  <c r="L5" i="3" s="1"/>
  <c r="N5" i="3" s="1"/>
  <c r="P12" i="3"/>
  <c r="S12" i="3"/>
  <c r="L8" i="3"/>
  <c r="N8" i="3" s="1"/>
  <c r="G8" i="3"/>
  <c r="I8" i="3" s="1"/>
  <c r="H8" i="3"/>
  <c r="K8" i="3" s="1"/>
  <c r="M25" i="3"/>
  <c r="N25" i="3" s="1"/>
  <c r="R44" i="3"/>
  <c r="D12" i="4"/>
  <c r="G2" i="3"/>
  <c r="I2" i="3" s="1"/>
  <c r="K2" i="3" s="1"/>
  <c r="L2" i="3" s="1"/>
  <c r="N2" i="3" s="1"/>
  <c r="S2" i="3" s="1"/>
  <c r="L40" i="3"/>
  <c r="N40" i="3" s="1"/>
  <c r="K60" i="3"/>
  <c r="L60" i="3" s="1"/>
  <c r="N60" i="3" s="1"/>
  <c r="E6" i="4"/>
  <c r="E14" i="4"/>
  <c r="K3" i="3"/>
  <c r="L3" i="3" s="1"/>
  <c r="N3" i="3" s="1"/>
  <c r="D14" i="4"/>
  <c r="Q8" i="3"/>
  <c r="P8" i="3"/>
  <c r="R8" i="3"/>
  <c r="K32" i="3"/>
  <c r="L32" i="3" s="1"/>
  <c r="N32" i="3" s="1"/>
  <c r="S32" i="3" s="1"/>
  <c r="R52" i="3"/>
  <c r="S29" i="3"/>
  <c r="Q29" i="3"/>
  <c r="G34" i="3"/>
  <c r="I34" i="3" s="1"/>
  <c r="H34" i="3"/>
  <c r="K34" i="3" s="1"/>
  <c r="L34" i="3" s="1"/>
  <c r="N34" i="3" s="1"/>
  <c r="E11" i="4"/>
  <c r="L28" i="3"/>
  <c r="N28" i="3" s="1"/>
  <c r="K50" i="3"/>
  <c r="L50" i="3" s="1"/>
  <c r="N50" i="3" s="1"/>
  <c r="R9" i="3"/>
  <c r="Q9" i="3"/>
  <c r="O9" i="3"/>
  <c r="P9" i="3"/>
  <c r="R4" i="3"/>
  <c r="Q4" i="3"/>
  <c r="P4" i="3"/>
  <c r="L36" i="3"/>
  <c r="N36" i="3" s="1"/>
  <c r="G4" i="3"/>
  <c r="I4" i="3" s="1"/>
  <c r="H4" i="3"/>
  <c r="K4" i="3" s="1"/>
  <c r="L4" i="3" s="1"/>
  <c r="E16" i="4"/>
  <c r="K7" i="3"/>
  <c r="K33" i="3"/>
  <c r="L33" i="3" s="1"/>
  <c r="N33" i="3" s="1"/>
  <c r="S33" i="3" s="1"/>
  <c r="L7" i="3"/>
  <c r="N7" i="3" s="1"/>
  <c r="K18" i="3"/>
  <c r="L18" i="3" s="1"/>
  <c r="N18" i="3" s="1"/>
  <c r="L39" i="3"/>
  <c r="N39" i="3" s="1"/>
  <c r="H39" i="3"/>
  <c r="K39" i="3" s="1"/>
  <c r="P46" i="3"/>
  <c r="O46" i="3"/>
  <c r="Q51" i="3"/>
  <c r="P51" i="3"/>
  <c r="P58" i="3"/>
  <c r="H59" i="3"/>
  <c r="K59" i="3" s="1"/>
  <c r="L59" i="3"/>
  <c r="H46" i="3"/>
  <c r="G46" i="3"/>
  <c r="I46" i="3" s="1"/>
  <c r="H51" i="3"/>
  <c r="Q58" i="3"/>
  <c r="K61" i="3"/>
  <c r="L61" i="3" s="1"/>
  <c r="N61" i="3" s="1"/>
  <c r="O33" i="3"/>
  <c r="R33" i="3"/>
  <c r="Q33" i="3"/>
  <c r="P38" i="3"/>
  <c r="O38" i="3"/>
  <c r="R38" i="3"/>
  <c r="G40" i="3"/>
  <c r="I40" i="3" s="1"/>
  <c r="P45" i="3"/>
  <c r="Q50" i="3"/>
  <c r="G51" i="3"/>
  <c r="I51" i="3" s="1"/>
  <c r="K53" i="3"/>
  <c r="L53" i="3" s="1"/>
  <c r="N53" i="3" s="1"/>
  <c r="O57" i="3"/>
  <c r="R57" i="3"/>
  <c r="P57" i="3"/>
  <c r="G58" i="3"/>
  <c r="I58" i="3" s="1"/>
  <c r="E12" i="4"/>
  <c r="H55" i="3"/>
  <c r="R56" i="3"/>
  <c r="Q57" i="3"/>
  <c r="H58" i="3"/>
  <c r="E7" i="4"/>
  <c r="E15" i="4"/>
  <c r="P37" i="3"/>
  <c r="P42" i="3"/>
  <c r="H43" i="3"/>
  <c r="K43" i="3" s="1"/>
  <c r="L43" i="3"/>
  <c r="O49" i="3"/>
  <c r="R49" i="3"/>
  <c r="Q49" i="3"/>
  <c r="G55" i="3"/>
  <c r="I55" i="3" s="1"/>
  <c r="H31" i="3"/>
  <c r="K31" i="3" s="1"/>
  <c r="L31" i="3" s="1"/>
  <c r="N31" i="3" s="1"/>
  <c r="H38" i="3"/>
  <c r="G38" i="3"/>
  <c r="I38" i="3" s="1"/>
  <c r="Q43" i="3"/>
  <c r="P43" i="3"/>
  <c r="G50" i="3"/>
  <c r="I50" i="3" s="1"/>
  <c r="E10" i="4"/>
  <c r="Q11" i="3"/>
  <c r="D15" i="4"/>
  <c r="H40" i="3"/>
  <c r="K40" i="3" s="1"/>
  <c r="Q45" i="3"/>
  <c r="O2" i="3"/>
  <c r="O11" i="3"/>
  <c r="O14" i="3"/>
  <c r="Q14" i="3"/>
  <c r="D6" i="4" s="1"/>
  <c r="P17" i="3"/>
  <c r="O18" i="3"/>
  <c r="Q19" i="3"/>
  <c r="P19" i="3"/>
  <c r="O19" i="3"/>
  <c r="P22" i="3"/>
  <c r="O22" i="3"/>
  <c r="P25" i="3"/>
  <c r="O26" i="3"/>
  <c r="Q27" i="3"/>
  <c r="P27" i="3"/>
  <c r="O27" i="3"/>
  <c r="P30" i="3"/>
  <c r="O30" i="3"/>
  <c r="R30" i="3"/>
  <c r="Q42" i="3"/>
  <c r="K45" i="3"/>
  <c r="L45" i="3" s="1"/>
  <c r="N45" i="3" s="1"/>
  <c r="R48" i="3"/>
  <c r="P54" i="3"/>
  <c r="O54" i="3"/>
  <c r="E13" i="4"/>
  <c r="P2" i="3"/>
  <c r="G5" i="3"/>
  <c r="I5" i="3" s="1"/>
  <c r="G10" i="3"/>
  <c r="I10" i="3" s="1"/>
  <c r="K10" i="3" s="1"/>
  <c r="L10" i="3" s="1"/>
  <c r="N10" i="3" s="1"/>
  <c r="R11" i="3"/>
  <c r="O13" i="3"/>
  <c r="H14" i="3"/>
  <c r="K14" i="3" s="1"/>
  <c r="L14" i="3" s="1"/>
  <c r="G14" i="3"/>
  <c r="I14" i="3" s="1"/>
  <c r="R14" i="3"/>
  <c r="G15" i="3"/>
  <c r="I15" i="3" s="1"/>
  <c r="R16" i="3"/>
  <c r="Q16" i="3"/>
  <c r="O16" i="3"/>
  <c r="Q17" i="3"/>
  <c r="R19" i="3"/>
  <c r="O21" i="3"/>
  <c r="H22" i="3"/>
  <c r="G22" i="3"/>
  <c r="I22" i="3" s="1"/>
  <c r="R22" i="3"/>
  <c r="G23" i="3"/>
  <c r="I23" i="3" s="1"/>
  <c r="R24" i="3"/>
  <c r="Q24" i="3"/>
  <c r="O24" i="3"/>
  <c r="P26" i="3"/>
  <c r="R27" i="3"/>
  <c r="O29" i="3"/>
  <c r="H30" i="3"/>
  <c r="K30" i="3" s="1"/>
  <c r="L30" i="3" s="1"/>
  <c r="N30" i="3" s="1"/>
  <c r="S30" i="3" s="1"/>
  <c r="G30" i="3"/>
  <c r="I30" i="3" s="1"/>
  <c r="P35" i="3"/>
  <c r="R35" i="3"/>
  <c r="L42" i="3"/>
  <c r="G42" i="3"/>
  <c r="I42" i="3" s="1"/>
  <c r="H47" i="3"/>
  <c r="H54" i="3"/>
  <c r="G54" i="3"/>
  <c r="I54" i="3" s="1"/>
  <c r="R61" i="3"/>
  <c r="P61" i="3"/>
  <c r="E5" i="4"/>
  <c r="E8" i="4"/>
  <c r="C14" i="4"/>
  <c r="P5" i="3"/>
  <c r="G6" i="3"/>
  <c r="I6" i="3" s="1"/>
  <c r="K6" i="3" s="1"/>
  <c r="L6" i="3" s="1"/>
  <c r="N6" i="3" s="1"/>
  <c r="P6" i="3"/>
  <c r="G11" i="3"/>
  <c r="I11" i="3" s="1"/>
  <c r="K11" i="3" s="1"/>
  <c r="L11" i="3" s="1"/>
  <c r="N11" i="3" s="1"/>
  <c r="S11" i="3" s="1"/>
  <c r="P13" i="3"/>
  <c r="H15" i="3"/>
  <c r="R17" i="3"/>
  <c r="G18" i="3"/>
  <c r="I18" i="3" s="1"/>
  <c r="G19" i="3"/>
  <c r="I19" i="3" s="1"/>
  <c r="K19" i="3" s="1"/>
  <c r="L19" i="3" s="1"/>
  <c r="N19" i="3" s="1"/>
  <c r="S19" i="3" s="1"/>
  <c r="P21" i="3"/>
  <c r="H23" i="3"/>
  <c r="K23" i="3" s="1"/>
  <c r="L23" i="3" s="1"/>
  <c r="N23" i="3" s="1"/>
  <c r="P24" i="3"/>
  <c r="R25" i="3"/>
  <c r="G26" i="3"/>
  <c r="I26" i="3" s="1"/>
  <c r="K26" i="3" s="1"/>
  <c r="L26" i="3" s="1"/>
  <c r="N26" i="3" s="1"/>
  <c r="G27" i="3"/>
  <c r="I27" i="3" s="1"/>
  <c r="K27" i="3" s="1"/>
  <c r="L27" i="3" s="1"/>
  <c r="N27" i="3" s="1"/>
  <c r="S27" i="3" s="1"/>
  <c r="P29" i="3"/>
  <c r="P34" i="3"/>
  <c r="H35" i="3"/>
  <c r="K35" i="3" s="1"/>
  <c r="L35" i="3"/>
  <c r="N35" i="3" s="1"/>
  <c r="S35" i="3" s="1"/>
  <c r="K37" i="3"/>
  <c r="L37" i="3" s="1"/>
  <c r="N37" i="3" s="1"/>
  <c r="O41" i="3"/>
  <c r="R41" i="3"/>
  <c r="Q41" i="3"/>
  <c r="H42" i="3"/>
  <c r="K42" i="3" s="1"/>
  <c r="Q46" i="3"/>
  <c r="G47" i="3"/>
  <c r="I47" i="3" s="1"/>
  <c r="O51" i="3"/>
  <c r="R53" i="3"/>
  <c r="P53" i="3"/>
  <c r="Q59" i="3"/>
  <c r="P59" i="3"/>
  <c r="Q61" i="3"/>
  <c r="Q40" i="3"/>
  <c r="Q48" i="3"/>
  <c r="Q56" i="3"/>
  <c r="S34" i="3" l="1"/>
  <c r="Q34" i="3"/>
  <c r="D10" i="4" s="1"/>
  <c r="S26" i="3"/>
  <c r="Q26" i="3"/>
  <c r="S10" i="3"/>
  <c r="P10" i="3"/>
  <c r="S18" i="3"/>
  <c r="P18" i="3"/>
  <c r="M4" i="3"/>
  <c r="N4" i="3" s="1"/>
  <c r="S25" i="3"/>
  <c r="Q25" i="3"/>
  <c r="S31" i="3"/>
  <c r="C8" i="4" s="1"/>
  <c r="Q31" i="3"/>
  <c r="D8" i="4" s="1"/>
  <c r="S16" i="3"/>
  <c r="P16" i="3"/>
  <c r="Q23" i="3"/>
  <c r="S23" i="3"/>
  <c r="S6" i="3"/>
  <c r="O6" i="3"/>
  <c r="R50" i="3"/>
  <c r="S8" i="3"/>
  <c r="O8" i="3"/>
  <c r="S7" i="3"/>
  <c r="O7" i="3"/>
  <c r="R60" i="3"/>
  <c r="Q32" i="3"/>
  <c r="M14" i="3"/>
  <c r="N14" i="3"/>
  <c r="Q30" i="3"/>
  <c r="S3" i="3"/>
  <c r="O3" i="3"/>
  <c r="K15" i="3"/>
  <c r="L15" i="3" s="1"/>
  <c r="N15" i="3" s="1"/>
  <c r="K55" i="3"/>
  <c r="L55" i="3" s="1"/>
  <c r="N55" i="3" s="1"/>
  <c r="K51" i="3"/>
  <c r="L51" i="3" s="1"/>
  <c r="N51" i="3" s="1"/>
  <c r="Q36" i="3"/>
  <c r="D5" i="4" s="1"/>
  <c r="S36" i="3"/>
  <c r="O5" i="3"/>
  <c r="S5" i="3"/>
  <c r="M59" i="3"/>
  <c r="N59" i="3" s="1"/>
  <c r="K54" i="3"/>
  <c r="L54" i="3" s="1"/>
  <c r="N54" i="3" s="1"/>
  <c r="M43" i="3"/>
  <c r="N43" i="3" s="1"/>
  <c r="R40" i="3"/>
  <c r="K47" i="3"/>
  <c r="L47" i="3" s="1"/>
  <c r="Q35" i="3"/>
  <c r="K58" i="3"/>
  <c r="L58" i="3" s="1"/>
  <c r="N58" i="3" s="1"/>
  <c r="R45" i="3"/>
  <c r="Q28" i="3"/>
  <c r="D11" i="4" s="1"/>
  <c r="S28" i="3"/>
  <c r="S37" i="3"/>
  <c r="Q37" i="3"/>
  <c r="D13" i="4" s="1"/>
  <c r="M42" i="3"/>
  <c r="N42" i="3" s="1"/>
  <c r="P11" i="3"/>
  <c r="K46" i="3"/>
  <c r="L46" i="3" s="1"/>
  <c r="N46" i="3" s="1"/>
  <c r="K22" i="3"/>
  <c r="L22" i="3" s="1"/>
  <c r="N22" i="3" s="1"/>
  <c r="K38" i="3"/>
  <c r="L38" i="3" s="1"/>
  <c r="N38" i="3" s="1"/>
  <c r="S39" i="3"/>
  <c r="Q39" i="3"/>
  <c r="C10" i="4" l="1"/>
  <c r="R42" i="3"/>
  <c r="R43" i="3"/>
  <c r="R59" i="3"/>
  <c r="S4" i="3"/>
  <c r="O4" i="3"/>
  <c r="M47" i="3"/>
  <c r="N47" i="3"/>
  <c r="S14" i="3"/>
  <c r="P14" i="3"/>
  <c r="P15" i="3"/>
  <c r="S15" i="3"/>
  <c r="D16" i="4"/>
  <c r="R46" i="3"/>
  <c r="C15" i="4"/>
  <c r="R58" i="3"/>
  <c r="C5" i="4"/>
  <c r="C13" i="4"/>
  <c r="S38" i="3"/>
  <c r="Q38" i="3"/>
  <c r="D9" i="4" s="1"/>
  <c r="C16" i="4"/>
  <c r="R51" i="3"/>
  <c r="S22" i="3"/>
  <c r="C7" i="4" s="1"/>
  <c r="Q22" i="3"/>
  <c r="D7" i="4" s="1"/>
  <c r="C12" i="4"/>
  <c r="R54" i="3"/>
  <c r="R55" i="3"/>
  <c r="R47" i="3" l="1"/>
  <c r="C20" i="4"/>
  <c r="C22" i="4"/>
  <c r="C9" i="4"/>
  <c r="C21" i="4"/>
  <c r="C11" i="4"/>
  <c r="C19" i="4"/>
  <c r="C6" i="4"/>
  <c r="C24" i="4" s="1"/>
  <c r="C2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Rahul Kapoor</author>
  </authors>
  <commentList>
    <comment ref="B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Cap at 15% total effective rate per CFO memo (Mar-25). Do not change without Finance sign-off.</t>
        </r>
      </text>
    </comment>
  </commentList>
</comments>
</file>

<file path=xl/sharedStrings.xml><?xml version="1.0" encoding="utf-8"?>
<sst xmlns="http://schemas.openxmlformats.org/spreadsheetml/2006/main" count="405" uniqueCount="125">
  <si>
    <t>FY26 Sales Commission Summary</t>
  </si>
  <si>
    <t>Selected quarter</t>
  </si>
  <si>
    <t>Q3</t>
  </si>
  <si>
    <t>Source: Calc tab. Commission in USD. Prepared by Sales Ops for the monthly business review.</t>
  </si>
  <si>
    <t>Sales Rep</t>
  </si>
  <si>
    <t>Region</t>
  </si>
  <si>
    <t>FY Commission (USD)</t>
  </si>
  <si>
    <t>Selected Qtr (USD)</t>
  </si>
  <si>
    <t>Deals</t>
  </si>
  <si>
    <t>Jessica Alvarez</t>
  </si>
  <si>
    <t>AMER</t>
  </si>
  <si>
    <t>Michael Brooks</t>
  </si>
  <si>
    <t>Daniel Kim</t>
  </si>
  <si>
    <t>Sarah O'Connor</t>
  </si>
  <si>
    <t>EMEA</t>
  </si>
  <si>
    <t>Lukas Becker</t>
  </si>
  <si>
    <t>Amelie Laurent</t>
  </si>
  <si>
    <t>Wei Zhang</t>
  </si>
  <si>
    <t>APAC</t>
  </si>
  <si>
    <t>Hiroshi Tanaka</t>
  </si>
  <si>
    <t>Priya Raman</t>
  </si>
  <si>
    <t>Rohan Mehta</t>
  </si>
  <si>
    <t>India</t>
  </si>
  <si>
    <t>Ananya Iyer</t>
  </si>
  <si>
    <t>Vikram Singh</t>
  </si>
  <si>
    <t>Company total commission</t>
  </si>
  <si>
    <t>Total bookings (USD)</t>
  </si>
  <si>
    <t>Commission as % of bookings</t>
  </si>
  <si>
    <t>Deal ID</t>
  </si>
  <si>
    <t>Product</t>
  </si>
  <si>
    <t>Deal Value</t>
  </si>
  <si>
    <t>Currency</t>
  </si>
  <si>
    <t>Close Date</t>
  </si>
  <si>
    <t>Days to Pay</t>
  </si>
  <si>
    <t>D-26-0001</t>
  </si>
  <si>
    <t>Support Plus</t>
  </si>
  <si>
    <t>EUR</t>
  </si>
  <si>
    <t>D-26-0002</t>
  </si>
  <si>
    <t xml:space="preserve">Rohan Mehta </t>
  </si>
  <si>
    <t>Core Platform</t>
  </si>
  <si>
    <t>USD</t>
  </si>
  <si>
    <t>D-26-0003</t>
  </si>
  <si>
    <t>D-26-0004</t>
  </si>
  <si>
    <t>Enterprise Suite</t>
  </si>
  <si>
    <t>D-26-0005</t>
  </si>
  <si>
    <t>Data Connectors</t>
  </si>
  <si>
    <t>D-26-0006</t>
  </si>
  <si>
    <t>Analytics Add-on</t>
  </si>
  <si>
    <t>D-26-0007</t>
  </si>
  <si>
    <t>D-26-0008</t>
  </si>
  <si>
    <t>D-26-0009</t>
  </si>
  <si>
    <t>D-26-0010</t>
  </si>
  <si>
    <t>D-26-0011</t>
  </si>
  <si>
    <t>D-26-0012</t>
  </si>
  <si>
    <t>D-26-0013</t>
  </si>
  <si>
    <t>D-26-0014</t>
  </si>
  <si>
    <t>D-26-0015</t>
  </si>
  <si>
    <t>64,500</t>
  </si>
  <si>
    <t>D-26-0016</t>
  </si>
  <si>
    <t>D-26-0017</t>
  </si>
  <si>
    <t>D-26-0018</t>
  </si>
  <si>
    <t>D-26-0019</t>
  </si>
  <si>
    <t>D-26-0020</t>
  </si>
  <si>
    <t>D-26-0021</t>
  </si>
  <si>
    <t>D-26-0022</t>
  </si>
  <si>
    <t>D-26-0023</t>
  </si>
  <si>
    <t>D-26-0024</t>
  </si>
  <si>
    <t>D-26-0025</t>
  </si>
  <si>
    <t>1,25,000</t>
  </si>
  <si>
    <t>D-26-0026</t>
  </si>
  <si>
    <t>D-26-0027</t>
  </si>
  <si>
    <t>D-26-0028</t>
  </si>
  <si>
    <t>D-26-0029</t>
  </si>
  <si>
    <t>D-26-0030</t>
  </si>
  <si>
    <t>D-26-0031</t>
  </si>
  <si>
    <t>D-26-0032</t>
  </si>
  <si>
    <t>D-26-0033</t>
  </si>
  <si>
    <t>D-26-0034</t>
  </si>
  <si>
    <t>D-26-0035</t>
  </si>
  <si>
    <t>D-26-0036</t>
  </si>
  <si>
    <t>D-26-0037</t>
  </si>
  <si>
    <t>D-26-0038</t>
  </si>
  <si>
    <t>D-26-0039</t>
  </si>
  <si>
    <t>D-26-0040</t>
  </si>
  <si>
    <t>D-26-0041</t>
  </si>
  <si>
    <t>D-26-0042</t>
  </si>
  <si>
    <t>D-26-0043</t>
  </si>
  <si>
    <t>D-26-0044</t>
  </si>
  <si>
    <t>D-26-0045</t>
  </si>
  <si>
    <t>D-26-0046</t>
  </si>
  <si>
    <t>D-26-0047</t>
  </si>
  <si>
    <t>D-26-0048</t>
  </si>
  <si>
    <t>D-26-0049</t>
  </si>
  <si>
    <t>D-26-0050</t>
  </si>
  <si>
    <t>D-26-0051</t>
  </si>
  <si>
    <t>D-26-0052</t>
  </si>
  <si>
    <t>D-26-0053</t>
  </si>
  <si>
    <t>D-26-0054</t>
  </si>
  <si>
    <t>D-26-0055</t>
  </si>
  <si>
    <t>D-26-0056</t>
  </si>
  <si>
    <t>D-26-0057</t>
  </si>
  <si>
    <t>D-26-0058</t>
  </si>
  <si>
    <t>85000</t>
  </si>
  <si>
    <t>D-26-0059</t>
  </si>
  <si>
    <t>2,10,000</t>
  </si>
  <si>
    <t>D-26-0060</t>
  </si>
  <si>
    <t>Deal Size From (USD)</t>
  </si>
  <si>
    <t>Base Rate</t>
  </si>
  <si>
    <t>Tier</t>
  </si>
  <si>
    <t>Tier Kicker</t>
  </si>
  <si>
    <t>Product Bonus</t>
  </si>
  <si>
    <t>Plan Participation</t>
  </si>
  <si>
    <t>Effective Rate</t>
  </si>
  <si>
    <t>Gross Commission</t>
  </si>
  <si>
    <t>adj</t>
  </si>
  <si>
    <t>Net Commission</t>
  </si>
  <si>
    <t>Q1</t>
  </si>
  <si>
    <t>Q2</t>
  </si>
  <si>
    <t>Q4</t>
  </si>
  <si>
    <t>Final Commission</t>
  </si>
  <si>
    <t>FY25 tiers - superseded</t>
  </si>
  <si>
    <t>From</t>
  </si>
  <si>
    <t>Rate</t>
  </si>
  <si>
    <t>Rep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</si>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</sst>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;\(#,##0\);&quot;-&quot;"/>
    <numFmt numFmtId="166" formatCode="0.0%"/>
    <numFmt numFmtId="167" formatCode="#,##0.00;\(#,##0.00\);&quot;-&quot;"/>
  </numFmts>
  <fonts count="6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FFFFFF"/>
      <name val="Calibri"/>
      <family val="2"/>
    </font>
    <font>
      <b/>
      <sz val="14"/>
      <color rgb="FF1F4E78"/>
      <name val="Calibri"/>
      <family val="2"/>
    </font>
    <font>
      <i/>
      <sz val="9"/>
      <color rgb="FF808080"/>
      <name val="Calibri"/>
      <family val="2"/>
    </font>
    <font>
      <b/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rgb="FF1F4E78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0" fillId="0" borderId="0" xfId="0" applyNumberFormat="1"/>
    <xf numFmtId="15" fontId="0" fillId="0" borderId="0" xfId="0" applyNumberFormat="1"/>
    <xf numFmtId="49" fontId="0" fillId="0" borderId="0" xfId="0" applyNumberFormat="1"/>
    <xf numFmtId="166" fontId="0" fillId="0" borderId="0" xfId="0" applyNumberFormat="1"/>
    <xf numFmtId="10" fontId="0" fillId="0" borderId="0" xfId="0" applyNumberFormat="1"/>
    <xf numFmtId="9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167" fontId="0" fillId="0" borderId="0" xfId="0" applyNumberFormat="1"/>
    <xf numFmtId="167" fontId="2" fillId="3" borderId="0" xfId="0" applyNumberFormat="1" applyFont="1" applyFill="1"/>
    <xf numFmtId="0" fontId="3" fillId="0" borderId="0" xfId="0" applyFont="1"/>
    <xf numFmtId="0" fontId="4" fillId="0" borderId="0" xfId="0" applyFont="1"/>
    <xf numFmtId="0" fontId="5" fillId="0" borderId="2" xfId="0" applyFont="1" applyBorder="1"/>
    <xf numFmtId="0" fontId="0" fillId="0" borderId="2" xfId="0" applyBorder="1"/>
    <xf numFmtId="164" fontId="5" fillId="0" borderId="2" xfId="0" applyNumberFormat="1" applyFont="1" applyBorder="1"/>
    <xf numFmtId="0" fontId="5" fillId="0" borderId="1" xfId="0" applyFont="1" applyBorder="1"/>
    <xf numFmtId="0" fontId="0" fillId="0" borderId="1" xfId="0" applyBorder="1"/>
    <xf numFmtId="164" fontId="5" fillId="0" borderId="1" xfId="0" applyNumberFormat="1" applyFont="1" applyBorder="1"/>
    <xf numFmtId="10" fontId="5" fillId="0" borderId="1" xfId="0" applyNumberFormat="1" applyFont="1" applyBorder="1"/>
    <xf numFmtId="0" fontId="5" fillId="0" borderId="0" xfId="0" applyFont="1"/>
    <xf numFmtId="0" fontId="0" fillId="4" borderId="0" xfId="0" applyFill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6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customWidth="1"/>
    <col min="2" max="2" width="18" customWidth="1"/>
    <col min="3" max="3" width="9" customWidth="1"/>
    <col min="4" max="4" width="18" customWidth="1"/>
    <col min="5" max="5" width="13" customWidth="1"/>
    <col min="6" max="6" width="9" customWidth="1"/>
    <col min="7" max="8" width="11" customWidth="1"/>
  </cols>
  <sheetData>
    <row r="1" spans="1:8" ht="16" x14ac:dyDescent="0.2">
      <c r="A1" s="1" t="s">
        <v>28</v>
      </c>
      <c r="B1" s="1" t="s">
        <v>4</v>
      </c>
      <c r="C1" s="1" t="s">
        <v>5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</row>
    <row r="2" spans="1:8" x14ac:dyDescent="0.2">
      <c r="A2" t="s">
        <v>34</v>
      </c>
      <c r="B2" t="s">
        <v>13</v>
      </c>
      <c r="C2" t="s">
        <v>14</v>
      </c>
      <c r="D2" t="s">
        <v>35</v>
      </c>
      <c r="E2" s="2">
        <v>190000</v>
      </c>
      <c r="F2" t="s">
        <v>36</v>
      </c>
      <c r="G2" s="3">
        <v>46023</v>
      </c>
      <c r="H2">
        <v>85</v>
      </c>
    </row>
    <row r="3" spans="1:8" x14ac:dyDescent="0.2">
      <c r="A3" t="s">
        <v>37</v>
      </c>
      <c r="B3" t="s">
        <v>38</v>
      </c>
      <c r="C3" t="s">
        <v>22</v>
      </c>
      <c r="D3" t="s">
        <v>39</v>
      </c>
      <c r="E3" s="2">
        <v>209000</v>
      </c>
      <c r="F3" t="s">
        <v>40</v>
      </c>
      <c r="G3" s="3">
        <v>46025</v>
      </c>
      <c r="H3">
        <v>32</v>
      </c>
    </row>
    <row r="4" spans="1:8" x14ac:dyDescent="0.2">
      <c r="A4" t="s">
        <v>41</v>
      </c>
      <c r="B4" t="s">
        <v>17</v>
      </c>
      <c r="C4" t="s">
        <v>18</v>
      </c>
      <c r="D4" t="s">
        <v>35</v>
      </c>
      <c r="E4" s="2">
        <v>250000</v>
      </c>
      <c r="F4" t="s">
        <v>40</v>
      </c>
      <c r="G4" s="3">
        <v>46057</v>
      </c>
      <c r="H4">
        <v>104</v>
      </c>
    </row>
    <row r="5" spans="1:8" x14ac:dyDescent="0.2">
      <c r="A5" t="s">
        <v>42</v>
      </c>
      <c r="B5" t="s">
        <v>19</v>
      </c>
      <c r="C5" t="s">
        <v>18</v>
      </c>
      <c r="D5" t="s">
        <v>43</v>
      </c>
      <c r="E5" s="2">
        <v>560000</v>
      </c>
      <c r="F5" t="s">
        <v>40</v>
      </c>
      <c r="G5" s="3">
        <v>46064</v>
      </c>
      <c r="H5">
        <v>61</v>
      </c>
    </row>
    <row r="6" spans="1:8" x14ac:dyDescent="0.2">
      <c r="A6" t="s">
        <v>44</v>
      </c>
      <c r="B6" t="s">
        <v>17</v>
      </c>
      <c r="C6" t="s">
        <v>18</v>
      </c>
      <c r="D6" t="s">
        <v>45</v>
      </c>
      <c r="E6" s="2">
        <v>305000</v>
      </c>
      <c r="F6" t="s">
        <v>40</v>
      </c>
      <c r="G6" s="3">
        <v>46070</v>
      </c>
      <c r="H6">
        <v>25</v>
      </c>
    </row>
    <row r="7" spans="1:8" x14ac:dyDescent="0.2">
      <c r="A7" t="s">
        <v>46</v>
      </c>
      <c r="B7" t="s">
        <v>38</v>
      </c>
      <c r="C7" t="s">
        <v>22</v>
      </c>
      <c r="D7" t="s">
        <v>47</v>
      </c>
      <c r="E7" s="2">
        <v>245000</v>
      </c>
      <c r="F7" t="s">
        <v>40</v>
      </c>
      <c r="G7" s="3">
        <v>46089</v>
      </c>
      <c r="H7">
        <v>45</v>
      </c>
    </row>
    <row r="8" spans="1:8" x14ac:dyDescent="0.2">
      <c r="A8" t="s">
        <v>48</v>
      </c>
      <c r="B8" t="s">
        <v>23</v>
      </c>
      <c r="C8" t="s">
        <v>22</v>
      </c>
      <c r="D8" t="s">
        <v>43</v>
      </c>
      <c r="E8" s="2">
        <v>140000</v>
      </c>
      <c r="F8" t="s">
        <v>40</v>
      </c>
      <c r="G8" s="3">
        <v>46099</v>
      </c>
      <c r="H8">
        <v>39</v>
      </c>
    </row>
    <row r="9" spans="1:8" x14ac:dyDescent="0.2">
      <c r="A9" t="s">
        <v>49</v>
      </c>
      <c r="B9" t="s">
        <v>20</v>
      </c>
      <c r="C9" t="s">
        <v>18</v>
      </c>
      <c r="D9" t="s">
        <v>45</v>
      </c>
      <c r="E9" s="2">
        <v>563500</v>
      </c>
      <c r="F9" t="s">
        <v>40</v>
      </c>
      <c r="G9" s="3">
        <v>46099</v>
      </c>
      <c r="H9">
        <v>31</v>
      </c>
    </row>
    <row r="10" spans="1:8" x14ac:dyDescent="0.2">
      <c r="A10" t="s">
        <v>50</v>
      </c>
      <c r="B10" t="s">
        <v>24</v>
      </c>
      <c r="C10" t="s">
        <v>22</v>
      </c>
      <c r="D10" t="s">
        <v>39</v>
      </c>
      <c r="E10" s="2">
        <v>140000</v>
      </c>
      <c r="F10" t="s">
        <v>40</v>
      </c>
      <c r="G10" s="3">
        <v>46127</v>
      </c>
      <c r="H10">
        <v>67</v>
      </c>
    </row>
    <row r="11" spans="1:8" x14ac:dyDescent="0.2">
      <c r="A11" t="s">
        <v>51</v>
      </c>
      <c r="B11" t="s">
        <v>24</v>
      </c>
      <c r="C11" t="s">
        <v>22</v>
      </c>
      <c r="D11" t="s">
        <v>45</v>
      </c>
      <c r="E11" s="2">
        <v>249000</v>
      </c>
      <c r="F11" t="s">
        <v>40</v>
      </c>
      <c r="G11" s="3">
        <v>46128</v>
      </c>
      <c r="H11">
        <v>61</v>
      </c>
    </row>
    <row r="12" spans="1:8" x14ac:dyDescent="0.2">
      <c r="A12" t="s">
        <v>52</v>
      </c>
      <c r="B12" t="s">
        <v>23</v>
      </c>
      <c r="C12" t="s">
        <v>22</v>
      </c>
      <c r="D12" t="s">
        <v>45</v>
      </c>
      <c r="E12" s="2">
        <v>84500</v>
      </c>
      <c r="F12" t="s">
        <v>40</v>
      </c>
      <c r="G12" s="3">
        <v>46129</v>
      </c>
      <c r="H12">
        <v>59</v>
      </c>
    </row>
    <row r="13" spans="1:8" x14ac:dyDescent="0.2">
      <c r="A13" t="s">
        <v>53</v>
      </c>
      <c r="B13" t="s">
        <v>23</v>
      </c>
      <c r="C13" t="s">
        <v>22</v>
      </c>
      <c r="D13" t="s">
        <v>39</v>
      </c>
      <c r="E13" s="2">
        <v>62500</v>
      </c>
      <c r="F13" t="s">
        <v>40</v>
      </c>
      <c r="G13" s="3">
        <v>46137</v>
      </c>
      <c r="H13">
        <v>35</v>
      </c>
    </row>
    <row r="14" spans="1:8" x14ac:dyDescent="0.2">
      <c r="A14" t="s">
        <v>54</v>
      </c>
      <c r="B14" t="s">
        <v>11</v>
      </c>
      <c r="C14" t="s">
        <v>10</v>
      </c>
      <c r="D14" t="s">
        <v>43</v>
      </c>
      <c r="E14" s="2">
        <v>241000</v>
      </c>
      <c r="F14" t="s">
        <v>40</v>
      </c>
      <c r="G14" s="3">
        <v>46146</v>
      </c>
      <c r="H14">
        <v>128</v>
      </c>
    </row>
    <row r="15" spans="1:8" x14ac:dyDescent="0.2">
      <c r="A15" t="s">
        <v>55</v>
      </c>
      <c r="B15" t="s">
        <v>11</v>
      </c>
      <c r="C15" t="s">
        <v>10</v>
      </c>
      <c r="D15" t="s">
        <v>45</v>
      </c>
      <c r="E15" s="2">
        <v>250000</v>
      </c>
      <c r="F15" t="s">
        <v>40</v>
      </c>
      <c r="G15" s="3">
        <v>46154</v>
      </c>
      <c r="H15">
        <v>82</v>
      </c>
    </row>
    <row r="16" spans="1:8" x14ac:dyDescent="0.2">
      <c r="A16" t="s">
        <v>56</v>
      </c>
      <c r="B16" t="s">
        <v>9</v>
      </c>
      <c r="C16" t="s">
        <v>10</v>
      </c>
      <c r="D16" t="s">
        <v>35</v>
      </c>
      <c r="E16" s="4" t="s">
        <v>57</v>
      </c>
      <c r="F16" t="s">
        <v>40</v>
      </c>
      <c r="G16" s="3">
        <v>46161</v>
      </c>
      <c r="H16">
        <v>109</v>
      </c>
    </row>
    <row r="17" spans="1:8" x14ac:dyDescent="0.2">
      <c r="A17" t="s">
        <v>58</v>
      </c>
      <c r="B17" t="s">
        <v>9</v>
      </c>
      <c r="C17" t="s">
        <v>10</v>
      </c>
      <c r="D17" t="s">
        <v>47</v>
      </c>
      <c r="E17" s="2">
        <v>23500</v>
      </c>
      <c r="F17" t="s">
        <v>40</v>
      </c>
      <c r="G17" s="3">
        <v>46179</v>
      </c>
      <c r="H17">
        <v>44</v>
      </c>
    </row>
    <row r="18" spans="1:8" x14ac:dyDescent="0.2">
      <c r="A18" t="s">
        <v>59</v>
      </c>
      <c r="B18" t="s">
        <v>19</v>
      </c>
      <c r="C18" t="s">
        <v>18</v>
      </c>
      <c r="D18" t="s">
        <v>35</v>
      </c>
      <c r="E18" s="2">
        <v>47000</v>
      </c>
      <c r="F18" t="s">
        <v>40</v>
      </c>
      <c r="G18" s="3">
        <v>46182</v>
      </c>
      <c r="H18">
        <v>68</v>
      </c>
    </row>
    <row r="19" spans="1:8" x14ac:dyDescent="0.2">
      <c r="A19" t="s">
        <v>60</v>
      </c>
      <c r="B19" t="s">
        <v>12</v>
      </c>
      <c r="C19" t="s">
        <v>10</v>
      </c>
      <c r="D19" t="s">
        <v>35</v>
      </c>
      <c r="E19" s="2">
        <v>40500</v>
      </c>
      <c r="F19" t="s">
        <v>40</v>
      </c>
      <c r="G19" s="3">
        <v>46188</v>
      </c>
      <c r="H19">
        <v>37</v>
      </c>
    </row>
    <row r="20" spans="1:8" x14ac:dyDescent="0.2">
      <c r="A20" t="s">
        <v>61</v>
      </c>
      <c r="B20" t="s">
        <v>38</v>
      </c>
      <c r="C20" t="s">
        <v>22</v>
      </c>
      <c r="D20" t="s">
        <v>43</v>
      </c>
      <c r="E20" s="2">
        <v>527500</v>
      </c>
      <c r="F20" t="s">
        <v>40</v>
      </c>
      <c r="G20" s="3">
        <v>46188</v>
      </c>
      <c r="H20">
        <v>52</v>
      </c>
    </row>
    <row r="21" spans="1:8" x14ac:dyDescent="0.2">
      <c r="A21" t="s">
        <v>62</v>
      </c>
      <c r="B21" t="s">
        <v>38</v>
      </c>
      <c r="C21" t="s">
        <v>22</v>
      </c>
      <c r="D21" t="s">
        <v>39</v>
      </c>
      <c r="E21" s="2">
        <v>455000</v>
      </c>
      <c r="F21" t="s">
        <v>40</v>
      </c>
      <c r="G21" s="3">
        <v>46195</v>
      </c>
      <c r="H21">
        <v>57</v>
      </c>
    </row>
    <row r="22" spans="1:8" x14ac:dyDescent="0.2">
      <c r="A22" t="s">
        <v>63</v>
      </c>
      <c r="B22" t="s">
        <v>12</v>
      </c>
      <c r="C22" t="s">
        <v>10</v>
      </c>
      <c r="D22" t="s">
        <v>39</v>
      </c>
      <c r="E22" s="2">
        <v>46000</v>
      </c>
      <c r="F22" t="s">
        <v>40</v>
      </c>
      <c r="G22" s="3">
        <v>46204</v>
      </c>
      <c r="H22">
        <v>42</v>
      </c>
    </row>
    <row r="23" spans="1:8" x14ac:dyDescent="0.2">
      <c r="A23" t="s">
        <v>64</v>
      </c>
      <c r="B23" t="s">
        <v>15</v>
      </c>
      <c r="C23" t="s">
        <v>14</v>
      </c>
      <c r="D23" t="s">
        <v>45</v>
      </c>
      <c r="E23" s="2">
        <v>253500</v>
      </c>
      <c r="F23" t="s">
        <v>36</v>
      </c>
      <c r="G23" s="3">
        <v>46207</v>
      </c>
      <c r="H23">
        <v>59</v>
      </c>
    </row>
    <row r="24" spans="1:8" x14ac:dyDescent="0.2">
      <c r="A24" t="s">
        <v>65</v>
      </c>
      <c r="B24" t="s">
        <v>9</v>
      </c>
      <c r="C24" t="s">
        <v>10</v>
      </c>
      <c r="D24" t="s">
        <v>45</v>
      </c>
      <c r="E24" s="2">
        <v>1038000</v>
      </c>
      <c r="F24" t="s">
        <v>40</v>
      </c>
      <c r="G24" s="3">
        <v>46209</v>
      </c>
      <c r="H24">
        <v>63</v>
      </c>
    </row>
    <row r="25" spans="1:8" x14ac:dyDescent="0.2">
      <c r="A25" t="s">
        <v>66</v>
      </c>
      <c r="B25" t="s">
        <v>12</v>
      </c>
      <c r="C25" t="s">
        <v>10</v>
      </c>
      <c r="D25" t="s">
        <v>47</v>
      </c>
      <c r="E25" s="2">
        <v>25000</v>
      </c>
      <c r="F25" t="s">
        <v>40</v>
      </c>
      <c r="G25" s="3">
        <v>46218</v>
      </c>
      <c r="H25">
        <v>119</v>
      </c>
    </row>
    <row r="26" spans="1:8" x14ac:dyDescent="0.2">
      <c r="A26" t="s">
        <v>67</v>
      </c>
      <c r="B26" t="s">
        <v>24</v>
      </c>
      <c r="C26" t="s">
        <v>22</v>
      </c>
      <c r="D26" t="s">
        <v>39</v>
      </c>
      <c r="E26" s="4" t="s">
        <v>68</v>
      </c>
      <c r="F26" t="s">
        <v>40</v>
      </c>
      <c r="G26" s="3">
        <v>46218</v>
      </c>
      <c r="H26">
        <v>24</v>
      </c>
    </row>
    <row r="27" spans="1:8" x14ac:dyDescent="0.2">
      <c r="A27" t="s">
        <v>69</v>
      </c>
      <c r="B27" t="s">
        <v>16</v>
      </c>
      <c r="C27" t="s">
        <v>14</v>
      </c>
      <c r="D27" t="s">
        <v>45</v>
      </c>
      <c r="E27" s="2">
        <v>221000</v>
      </c>
      <c r="F27" t="s">
        <v>36</v>
      </c>
      <c r="G27" s="3">
        <v>46237</v>
      </c>
      <c r="H27">
        <v>33</v>
      </c>
    </row>
    <row r="28" spans="1:8" x14ac:dyDescent="0.2">
      <c r="A28" t="s">
        <v>70</v>
      </c>
      <c r="B28" t="s">
        <v>17</v>
      </c>
      <c r="C28" t="s">
        <v>18</v>
      </c>
      <c r="D28" t="s">
        <v>43</v>
      </c>
      <c r="E28" s="2">
        <v>720000</v>
      </c>
      <c r="F28" t="s">
        <v>40</v>
      </c>
      <c r="G28" s="3">
        <v>46242</v>
      </c>
      <c r="H28">
        <v>43</v>
      </c>
    </row>
    <row r="29" spans="1:8" x14ac:dyDescent="0.2">
      <c r="A29" t="s">
        <v>71</v>
      </c>
      <c r="B29" t="s">
        <v>9</v>
      </c>
      <c r="C29" t="s">
        <v>10</v>
      </c>
      <c r="D29" t="s">
        <v>35</v>
      </c>
      <c r="E29" s="2">
        <v>92000</v>
      </c>
      <c r="F29" t="s">
        <v>40</v>
      </c>
      <c r="G29" s="3">
        <v>46246</v>
      </c>
      <c r="H29">
        <v>22</v>
      </c>
    </row>
    <row r="30" spans="1:8" x14ac:dyDescent="0.2">
      <c r="A30" t="s">
        <v>72</v>
      </c>
      <c r="B30" t="s">
        <v>12</v>
      </c>
      <c r="C30" t="s">
        <v>10</v>
      </c>
      <c r="D30" t="s">
        <v>35</v>
      </c>
      <c r="E30" s="2">
        <v>32500</v>
      </c>
      <c r="F30" t="s">
        <v>40</v>
      </c>
      <c r="G30" s="3">
        <v>46250</v>
      </c>
      <c r="H30">
        <v>81</v>
      </c>
    </row>
    <row r="31" spans="1:8" x14ac:dyDescent="0.2">
      <c r="A31" t="s">
        <v>73</v>
      </c>
      <c r="B31" t="s">
        <v>13</v>
      </c>
      <c r="C31" t="s">
        <v>14</v>
      </c>
      <c r="D31" t="s">
        <v>43</v>
      </c>
      <c r="E31" s="2">
        <v>385500</v>
      </c>
      <c r="F31" t="s">
        <v>36</v>
      </c>
      <c r="G31" s="3">
        <v>46259</v>
      </c>
      <c r="H31">
        <v>28</v>
      </c>
    </row>
    <row r="32" spans="1:8" x14ac:dyDescent="0.2">
      <c r="A32" t="s">
        <v>74</v>
      </c>
      <c r="B32" t="s">
        <v>17</v>
      </c>
      <c r="C32" t="s">
        <v>18</v>
      </c>
      <c r="D32" t="s">
        <v>35</v>
      </c>
      <c r="E32" s="2">
        <v>35000</v>
      </c>
      <c r="F32" t="s">
        <v>40</v>
      </c>
      <c r="G32" s="3">
        <v>46261</v>
      </c>
      <c r="H32">
        <v>72</v>
      </c>
    </row>
    <row r="33" spans="1:8" x14ac:dyDescent="0.2">
      <c r="A33" t="s">
        <v>75</v>
      </c>
      <c r="B33" t="s">
        <v>19</v>
      </c>
      <c r="C33" t="s">
        <v>18</v>
      </c>
      <c r="D33" t="s">
        <v>43</v>
      </c>
      <c r="E33" s="2">
        <v>51000</v>
      </c>
      <c r="F33" t="s">
        <v>40</v>
      </c>
      <c r="G33" s="3">
        <v>46269</v>
      </c>
      <c r="H33">
        <v>21</v>
      </c>
    </row>
    <row r="34" spans="1:8" x14ac:dyDescent="0.2">
      <c r="A34" t="s">
        <v>76</v>
      </c>
      <c r="B34" t="s">
        <v>16</v>
      </c>
      <c r="C34" t="s">
        <v>14</v>
      </c>
      <c r="D34" t="s">
        <v>39</v>
      </c>
      <c r="E34" s="2">
        <v>149000</v>
      </c>
      <c r="F34" t="s">
        <v>36</v>
      </c>
      <c r="G34" s="3">
        <v>46275</v>
      </c>
      <c r="H34">
        <v>24</v>
      </c>
    </row>
    <row r="35" spans="1:8" x14ac:dyDescent="0.2">
      <c r="A35" t="s">
        <v>77</v>
      </c>
      <c r="B35" t="s">
        <v>24</v>
      </c>
      <c r="C35" t="s">
        <v>22</v>
      </c>
      <c r="D35" t="s">
        <v>39</v>
      </c>
      <c r="E35" s="2">
        <v>123000</v>
      </c>
      <c r="F35" t="s">
        <v>40</v>
      </c>
      <c r="G35" s="3">
        <v>46275</v>
      </c>
      <c r="H35">
        <v>56</v>
      </c>
    </row>
    <row r="36" spans="1:8" x14ac:dyDescent="0.2">
      <c r="A36" t="s">
        <v>78</v>
      </c>
      <c r="B36" t="s">
        <v>9</v>
      </c>
      <c r="C36" t="s">
        <v>10</v>
      </c>
      <c r="D36" t="s">
        <v>43</v>
      </c>
      <c r="E36" s="2">
        <v>1050000</v>
      </c>
      <c r="F36" t="s">
        <v>40</v>
      </c>
      <c r="G36" s="3">
        <v>46282</v>
      </c>
      <c r="H36">
        <v>27</v>
      </c>
    </row>
    <row r="37" spans="1:8" x14ac:dyDescent="0.2">
      <c r="A37" t="s">
        <v>79</v>
      </c>
      <c r="B37" t="s">
        <v>20</v>
      </c>
      <c r="C37" t="s">
        <v>18</v>
      </c>
      <c r="D37" t="s">
        <v>35</v>
      </c>
      <c r="E37" s="2">
        <v>232000</v>
      </c>
      <c r="F37" t="s">
        <v>40</v>
      </c>
      <c r="G37" s="3">
        <v>46289</v>
      </c>
      <c r="H37">
        <v>51</v>
      </c>
    </row>
    <row r="38" spans="1:8" x14ac:dyDescent="0.2">
      <c r="A38" t="s">
        <v>80</v>
      </c>
      <c r="B38" t="s">
        <v>15</v>
      </c>
      <c r="C38" t="s">
        <v>14</v>
      </c>
      <c r="D38" t="s">
        <v>45</v>
      </c>
      <c r="E38" s="2">
        <v>250000</v>
      </c>
      <c r="F38" t="s">
        <v>36</v>
      </c>
      <c r="G38" s="3">
        <v>46291</v>
      </c>
      <c r="H38">
        <v>72</v>
      </c>
    </row>
    <row r="39" spans="1:8" x14ac:dyDescent="0.2">
      <c r="A39" t="s">
        <v>81</v>
      </c>
      <c r="B39" t="s">
        <v>16</v>
      </c>
      <c r="C39" t="s">
        <v>14</v>
      </c>
      <c r="D39" t="s">
        <v>39</v>
      </c>
      <c r="E39" s="2">
        <v>177000</v>
      </c>
      <c r="F39" t="s">
        <v>36</v>
      </c>
      <c r="G39" s="3">
        <v>46293</v>
      </c>
      <c r="H39">
        <v>36</v>
      </c>
    </row>
    <row r="40" spans="1:8" x14ac:dyDescent="0.2">
      <c r="A40" t="s">
        <v>82</v>
      </c>
      <c r="B40" t="s">
        <v>11</v>
      </c>
      <c r="C40" t="s">
        <v>10</v>
      </c>
      <c r="D40" t="s">
        <v>39</v>
      </c>
      <c r="E40" s="2">
        <v>525000</v>
      </c>
      <c r="F40" t="s">
        <v>40</v>
      </c>
      <c r="G40" s="3">
        <v>46297</v>
      </c>
      <c r="H40">
        <v>82</v>
      </c>
    </row>
    <row r="41" spans="1:8" x14ac:dyDescent="0.2">
      <c r="A41" t="s">
        <v>83</v>
      </c>
      <c r="B41" t="s">
        <v>15</v>
      </c>
      <c r="C41" t="s">
        <v>14</v>
      </c>
      <c r="D41" t="s">
        <v>35</v>
      </c>
      <c r="E41" s="2">
        <v>37000</v>
      </c>
      <c r="F41" t="s">
        <v>36</v>
      </c>
      <c r="G41" s="3">
        <v>46299</v>
      </c>
      <c r="H41">
        <v>78</v>
      </c>
    </row>
    <row r="42" spans="1:8" x14ac:dyDescent="0.2">
      <c r="A42" t="s">
        <v>84</v>
      </c>
      <c r="B42" t="s">
        <v>16</v>
      </c>
      <c r="C42" t="s">
        <v>14</v>
      </c>
      <c r="D42" t="s">
        <v>39</v>
      </c>
      <c r="E42" s="2">
        <v>463000</v>
      </c>
      <c r="F42" t="s">
        <v>36</v>
      </c>
      <c r="G42" s="3">
        <v>46305</v>
      </c>
      <c r="H42">
        <v>105</v>
      </c>
    </row>
    <row r="43" spans="1:8" x14ac:dyDescent="0.2">
      <c r="A43" t="s">
        <v>85</v>
      </c>
      <c r="B43" t="s">
        <v>20</v>
      </c>
      <c r="C43" t="s">
        <v>18</v>
      </c>
      <c r="D43" t="s">
        <v>45</v>
      </c>
      <c r="E43" s="2">
        <v>297500</v>
      </c>
      <c r="F43" t="s">
        <v>40</v>
      </c>
      <c r="G43" s="3">
        <v>46305</v>
      </c>
      <c r="H43">
        <v>130</v>
      </c>
    </row>
    <row r="44" spans="1:8" x14ac:dyDescent="0.2">
      <c r="A44" t="s">
        <v>86</v>
      </c>
      <c r="B44" t="s">
        <v>20</v>
      </c>
      <c r="C44" t="s">
        <v>18</v>
      </c>
      <c r="D44" t="s">
        <v>47</v>
      </c>
      <c r="E44" s="2">
        <v>644500</v>
      </c>
      <c r="F44" t="s">
        <v>40</v>
      </c>
      <c r="G44" s="3">
        <v>46308</v>
      </c>
      <c r="H44">
        <v>60</v>
      </c>
    </row>
    <row r="45" spans="1:8" x14ac:dyDescent="0.2">
      <c r="A45" t="s">
        <v>87</v>
      </c>
      <c r="B45" t="s">
        <v>15</v>
      </c>
      <c r="C45" t="s">
        <v>14</v>
      </c>
      <c r="D45" t="s">
        <v>45</v>
      </c>
      <c r="E45" s="2">
        <v>61000</v>
      </c>
      <c r="F45" t="s">
        <v>36</v>
      </c>
      <c r="G45" s="3">
        <v>46309</v>
      </c>
      <c r="H45">
        <v>66</v>
      </c>
    </row>
    <row r="46" spans="1:8" x14ac:dyDescent="0.2">
      <c r="A46" t="s">
        <v>88</v>
      </c>
      <c r="B46" t="s">
        <v>12</v>
      </c>
      <c r="C46" t="s">
        <v>10</v>
      </c>
      <c r="D46" t="s">
        <v>47</v>
      </c>
      <c r="E46" s="2">
        <v>143500</v>
      </c>
      <c r="F46" t="s">
        <v>40</v>
      </c>
      <c r="G46" s="3">
        <v>46320</v>
      </c>
      <c r="H46">
        <v>62</v>
      </c>
    </row>
    <row r="47" spans="1:8" x14ac:dyDescent="0.2">
      <c r="A47" t="s">
        <v>89</v>
      </c>
      <c r="B47" t="s">
        <v>15</v>
      </c>
      <c r="C47" t="s">
        <v>14</v>
      </c>
      <c r="D47" t="s">
        <v>43</v>
      </c>
      <c r="E47" s="2">
        <v>489000</v>
      </c>
      <c r="F47" t="s">
        <v>36</v>
      </c>
      <c r="G47" s="3">
        <v>46334</v>
      </c>
      <c r="H47">
        <v>130</v>
      </c>
    </row>
    <row r="48" spans="1:8" x14ac:dyDescent="0.2">
      <c r="A48" t="s">
        <v>90</v>
      </c>
      <c r="B48" t="s">
        <v>13</v>
      </c>
      <c r="C48" t="s">
        <v>14</v>
      </c>
      <c r="D48" t="s">
        <v>47</v>
      </c>
      <c r="E48" s="2">
        <v>244500</v>
      </c>
      <c r="F48" t="s">
        <v>36</v>
      </c>
      <c r="G48" s="3">
        <v>46340</v>
      </c>
      <c r="H48">
        <v>65</v>
      </c>
    </row>
    <row r="49" spans="1:8" x14ac:dyDescent="0.2">
      <c r="A49" t="s">
        <v>91</v>
      </c>
      <c r="B49" t="s">
        <v>13</v>
      </c>
      <c r="C49" t="s">
        <v>14</v>
      </c>
      <c r="D49" t="s">
        <v>47</v>
      </c>
      <c r="E49" s="2">
        <v>144500</v>
      </c>
      <c r="F49" t="s">
        <v>36</v>
      </c>
      <c r="G49" s="3">
        <v>46340</v>
      </c>
      <c r="H49">
        <v>73</v>
      </c>
    </row>
    <row r="50" spans="1:8" x14ac:dyDescent="0.2">
      <c r="A50" t="s">
        <v>92</v>
      </c>
      <c r="B50" t="s">
        <v>11</v>
      </c>
      <c r="C50" t="s">
        <v>10</v>
      </c>
      <c r="D50" t="s">
        <v>43</v>
      </c>
      <c r="E50" s="2">
        <v>161500</v>
      </c>
      <c r="F50" t="s">
        <v>40</v>
      </c>
      <c r="G50" s="3">
        <v>46341</v>
      </c>
      <c r="H50">
        <v>67</v>
      </c>
    </row>
    <row r="51" spans="1:8" x14ac:dyDescent="0.2">
      <c r="A51" t="s">
        <v>93</v>
      </c>
      <c r="B51" t="s">
        <v>24</v>
      </c>
      <c r="C51" t="s">
        <v>22</v>
      </c>
      <c r="D51" t="s">
        <v>43</v>
      </c>
      <c r="E51" s="2">
        <v>82000</v>
      </c>
      <c r="F51" t="s">
        <v>40</v>
      </c>
      <c r="G51" s="3">
        <v>46344</v>
      </c>
      <c r="H51">
        <v>83</v>
      </c>
    </row>
    <row r="52" spans="1:8" x14ac:dyDescent="0.2">
      <c r="A52" t="s">
        <v>94</v>
      </c>
      <c r="B52" t="s">
        <v>16</v>
      </c>
      <c r="C52" t="s">
        <v>14</v>
      </c>
      <c r="D52" t="s">
        <v>39</v>
      </c>
      <c r="E52" s="2">
        <v>27500</v>
      </c>
      <c r="F52" t="s">
        <v>36</v>
      </c>
      <c r="G52" s="3">
        <v>46350</v>
      </c>
      <c r="H52">
        <v>47</v>
      </c>
    </row>
    <row r="53" spans="1:8" x14ac:dyDescent="0.2">
      <c r="A53" t="s">
        <v>95</v>
      </c>
      <c r="B53" t="s">
        <v>13</v>
      </c>
      <c r="C53" t="s">
        <v>14</v>
      </c>
      <c r="D53" t="s">
        <v>39</v>
      </c>
      <c r="E53" s="2">
        <v>24500</v>
      </c>
      <c r="F53" t="s">
        <v>36</v>
      </c>
      <c r="G53" s="3">
        <v>46360</v>
      </c>
      <c r="H53">
        <v>20</v>
      </c>
    </row>
    <row r="54" spans="1:8" x14ac:dyDescent="0.2">
      <c r="A54" t="s">
        <v>96</v>
      </c>
      <c r="B54" t="s">
        <v>19</v>
      </c>
      <c r="C54" t="s">
        <v>18</v>
      </c>
      <c r="D54" t="s">
        <v>45</v>
      </c>
      <c r="E54" s="2">
        <v>216500</v>
      </c>
      <c r="F54" t="s">
        <v>40</v>
      </c>
      <c r="G54" s="3">
        <v>46361</v>
      </c>
      <c r="H54">
        <v>47</v>
      </c>
    </row>
    <row r="55" spans="1:8" x14ac:dyDescent="0.2">
      <c r="A55" t="s">
        <v>97</v>
      </c>
      <c r="B55" t="s">
        <v>38</v>
      </c>
      <c r="C55" t="s">
        <v>22</v>
      </c>
      <c r="D55" t="s">
        <v>39</v>
      </c>
      <c r="E55" s="2">
        <v>56500</v>
      </c>
      <c r="F55" t="s">
        <v>40</v>
      </c>
      <c r="G55" s="3">
        <v>46362</v>
      </c>
      <c r="H55">
        <v>78</v>
      </c>
    </row>
    <row r="56" spans="1:8" x14ac:dyDescent="0.2">
      <c r="A56" t="s">
        <v>98</v>
      </c>
      <c r="B56" t="s">
        <v>17</v>
      </c>
      <c r="C56" t="s">
        <v>18</v>
      </c>
      <c r="D56" t="s">
        <v>39</v>
      </c>
      <c r="E56" s="2">
        <v>152000</v>
      </c>
      <c r="F56" t="s">
        <v>40</v>
      </c>
      <c r="G56" s="3">
        <v>46372</v>
      </c>
      <c r="H56">
        <v>85</v>
      </c>
    </row>
    <row r="57" spans="1:8" x14ac:dyDescent="0.2">
      <c r="A57" t="s">
        <v>99</v>
      </c>
      <c r="B57" t="s">
        <v>20</v>
      </c>
      <c r="C57" t="s">
        <v>18</v>
      </c>
      <c r="D57" t="s">
        <v>43</v>
      </c>
      <c r="E57" s="2">
        <v>1082500</v>
      </c>
      <c r="F57" t="s">
        <v>40</v>
      </c>
      <c r="G57" s="3">
        <v>46375</v>
      </c>
      <c r="H57">
        <v>69</v>
      </c>
    </row>
    <row r="58" spans="1:8" x14ac:dyDescent="0.2">
      <c r="A58" t="s">
        <v>100</v>
      </c>
      <c r="B58" t="s">
        <v>23</v>
      </c>
      <c r="C58" t="s">
        <v>22</v>
      </c>
      <c r="D58" t="s">
        <v>35</v>
      </c>
      <c r="E58" s="2">
        <v>823000</v>
      </c>
      <c r="F58" t="s">
        <v>40</v>
      </c>
      <c r="G58" s="3">
        <v>46376</v>
      </c>
      <c r="H58">
        <v>33</v>
      </c>
    </row>
    <row r="59" spans="1:8" x14ac:dyDescent="0.2">
      <c r="A59" t="s">
        <v>101</v>
      </c>
      <c r="B59" t="s">
        <v>19</v>
      </c>
      <c r="C59" t="s">
        <v>18</v>
      </c>
      <c r="D59" t="s">
        <v>35</v>
      </c>
      <c r="E59" s="4" t="s">
        <v>102</v>
      </c>
      <c r="F59" t="s">
        <v>40</v>
      </c>
      <c r="G59" s="3">
        <v>46377</v>
      </c>
      <c r="H59">
        <v>117</v>
      </c>
    </row>
    <row r="60" spans="1:8" x14ac:dyDescent="0.2">
      <c r="A60" t="s">
        <v>103</v>
      </c>
      <c r="B60" t="s">
        <v>23</v>
      </c>
      <c r="C60" t="s">
        <v>22</v>
      </c>
      <c r="D60" t="s">
        <v>45</v>
      </c>
      <c r="E60" s="4" t="s">
        <v>104</v>
      </c>
      <c r="F60" t="s">
        <v>40</v>
      </c>
      <c r="G60" s="3">
        <v>46382</v>
      </c>
      <c r="H60">
        <v>85</v>
      </c>
    </row>
    <row r="61" spans="1:8" x14ac:dyDescent="0.2">
      <c r="A61" t="s">
        <v>105</v>
      </c>
      <c r="B61" t="s">
        <v>11</v>
      </c>
      <c r="C61" t="s">
        <v>10</v>
      </c>
      <c r="D61" t="s">
        <v>35</v>
      </c>
      <c r="E61" s="2">
        <v>165000</v>
      </c>
      <c r="F61" t="s">
        <v>40</v>
      </c>
      <c r="G61" s="3">
        <v>46384</v>
      </c>
      <c r="H61">
        <v>70</v>
      </c>
    </row>
  </sheetData>
  <autoFilter ref="A1:H61" xr:uid="{00000000-0009-0000-00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13"/>
  <sheetViews>
    <sheetView workbookViewId="0"/>
  </sheetViews>
  <sheetFormatPr baseColWidth="10" defaultColWidth="8.83203125" defaultRowHeight="15" x14ac:dyDescent="0.2"/>
  <cols>
    <col min="1" max="1" width="20" customWidth="1"/>
    <col min="2" max="2" width="11" customWidth="1"/>
    <col min="3" max="3" width="3" customWidth="1"/>
    <col min="4" max="4" width="7" customWidth="1"/>
    <col min="5" max="5" width="11" customWidth="1"/>
    <col min="6" max="6" width="3" customWidth="1"/>
    <col min="7" max="7" width="18" customWidth="1"/>
    <col min="8" max="8" width="13" customWidth="1"/>
    <col min="9" max="9" width="3" customWidth="1"/>
    <col min="10" max="10" width="18" customWidth="1"/>
    <col min="11" max="11" width="17" customWidth="1"/>
  </cols>
  <sheetData>
    <row r="1" spans="1:11" ht="16" x14ac:dyDescent="0.2">
      <c r="A1" s="1" t="s">
        <v>106</v>
      </c>
      <c r="B1" s="1" t="s">
        <v>107</v>
      </c>
      <c r="D1" s="1" t="s">
        <v>108</v>
      </c>
      <c r="E1" s="1" t="s">
        <v>109</v>
      </c>
      <c r="G1" s="1" t="s">
        <v>29</v>
      </c>
      <c r="H1" s="1" t="s">
        <v>110</v>
      </c>
      <c r="J1" s="1" t="s">
        <v>4</v>
      </c>
      <c r="K1" s="1" t="s">
        <v>111</v>
      </c>
    </row>
    <row r="2" spans="1:11" x14ac:dyDescent="0.2">
      <c r="A2" s="2">
        <v>0</v>
      </c>
      <c r="B2" s="5">
        <v>0.02</v>
      </c>
      <c r="D2">
        <v>1</v>
      </c>
      <c r="E2" s="6">
        <v>0</v>
      </c>
      <c r="G2" t="s">
        <v>39</v>
      </c>
      <c r="H2" s="5">
        <v>0</v>
      </c>
      <c r="J2" t="s">
        <v>9</v>
      </c>
      <c r="K2" s="7">
        <v>1</v>
      </c>
    </row>
    <row r="3" spans="1:11" x14ac:dyDescent="0.2">
      <c r="A3" s="2">
        <v>25000</v>
      </c>
      <c r="B3" s="5">
        <v>0.03</v>
      </c>
      <c r="D3">
        <v>2</v>
      </c>
      <c r="E3" s="6">
        <v>0</v>
      </c>
      <c r="G3" t="s">
        <v>47</v>
      </c>
      <c r="H3" s="5">
        <v>0.01</v>
      </c>
      <c r="J3" t="s">
        <v>11</v>
      </c>
      <c r="K3" s="7">
        <v>1</v>
      </c>
    </row>
    <row r="4" spans="1:11" x14ac:dyDescent="0.2">
      <c r="A4" s="2">
        <v>50000</v>
      </c>
      <c r="B4" s="5">
        <v>0.04</v>
      </c>
      <c r="D4">
        <v>3</v>
      </c>
      <c r="E4" s="6">
        <v>2.5000000000000001E-3</v>
      </c>
      <c r="G4" t="s">
        <v>43</v>
      </c>
      <c r="H4" s="5">
        <v>0.04</v>
      </c>
      <c r="J4" t="s">
        <v>12</v>
      </c>
      <c r="K4" s="7">
        <v>0.5</v>
      </c>
    </row>
    <row r="5" spans="1:11" x14ac:dyDescent="0.2">
      <c r="A5" s="2">
        <v>150000</v>
      </c>
      <c r="B5" s="5">
        <v>0.06</v>
      </c>
      <c r="D5">
        <v>4</v>
      </c>
      <c r="E5" s="6">
        <v>5.0000000000000001E-3</v>
      </c>
      <c r="G5" t="s">
        <v>35</v>
      </c>
      <c r="H5" s="5">
        <v>0</v>
      </c>
      <c r="J5" t="s">
        <v>13</v>
      </c>
      <c r="K5" s="7">
        <v>1</v>
      </c>
    </row>
    <row r="6" spans="1:11" x14ac:dyDescent="0.2">
      <c r="A6" s="2">
        <v>100000</v>
      </c>
      <c r="B6" s="5">
        <v>0.05</v>
      </c>
      <c r="D6">
        <v>5</v>
      </c>
      <c r="E6" s="6">
        <v>7.4999999999999997E-3</v>
      </c>
      <c r="G6" t="s">
        <v>45</v>
      </c>
      <c r="H6" s="5">
        <v>0</v>
      </c>
      <c r="J6" t="s">
        <v>15</v>
      </c>
      <c r="K6" s="7">
        <v>1</v>
      </c>
    </row>
    <row r="7" spans="1:11" x14ac:dyDescent="0.2">
      <c r="A7" s="2">
        <v>250000</v>
      </c>
      <c r="B7" s="5">
        <v>7.0000000000000007E-2</v>
      </c>
      <c r="D7">
        <v>6</v>
      </c>
      <c r="E7" s="6">
        <v>0.01</v>
      </c>
      <c r="J7" t="s">
        <v>16</v>
      </c>
      <c r="K7" s="7">
        <v>0.75</v>
      </c>
    </row>
    <row r="8" spans="1:11" x14ac:dyDescent="0.2">
      <c r="A8" s="2">
        <v>400000</v>
      </c>
      <c r="B8" s="5">
        <v>8.5000000000000006E-2</v>
      </c>
      <c r="D8">
        <v>7</v>
      </c>
      <c r="E8" s="6">
        <v>1.4999999999999999E-2</v>
      </c>
      <c r="J8" t="s">
        <v>17</v>
      </c>
      <c r="K8" s="7">
        <v>1</v>
      </c>
    </row>
    <row r="9" spans="1:11" x14ac:dyDescent="0.2">
      <c r="A9" s="2">
        <v>1000000</v>
      </c>
      <c r="B9" s="5">
        <v>0.11</v>
      </c>
      <c r="D9">
        <v>8</v>
      </c>
      <c r="E9" s="6">
        <v>0.02</v>
      </c>
      <c r="J9" t="s">
        <v>19</v>
      </c>
      <c r="K9" s="7">
        <v>1</v>
      </c>
    </row>
    <row r="10" spans="1:11" x14ac:dyDescent="0.2">
      <c r="A10" s="2">
        <v>600000</v>
      </c>
      <c r="B10" s="5">
        <v>0.1</v>
      </c>
      <c r="D10">
        <v>9</v>
      </c>
      <c r="E10" s="6">
        <v>2.5000000000000001E-2</v>
      </c>
      <c r="J10" t="s">
        <v>20</v>
      </c>
      <c r="K10" s="7">
        <v>1</v>
      </c>
    </row>
    <row r="11" spans="1:11" x14ac:dyDescent="0.2">
      <c r="J11" t="s">
        <v>21</v>
      </c>
      <c r="K11" s="7">
        <v>1</v>
      </c>
    </row>
    <row r="12" spans="1:11" x14ac:dyDescent="0.2">
      <c r="J12" t="s">
        <v>23</v>
      </c>
      <c r="K12" s="7">
        <v>1</v>
      </c>
    </row>
    <row r="13" spans="1:11" x14ac:dyDescent="0.2">
      <c r="J13" t="s">
        <v>24</v>
      </c>
      <c r="K13" s="7">
        <v>1</v>
      </c>
    </row>
  </sheetData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61"/>
  <sheetViews>
    <sheetView workbookViewId="0">
      <pane xSplit="2" ySplit="1" topLeftCell="C2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11" customWidth="1"/>
    <col min="2" max="2" width="17" customWidth="1"/>
    <col min="3" max="3" width="8" customWidth="1"/>
    <col min="4" max="4" width="17" customWidth="1"/>
    <col min="5" max="5" width="10" customWidth="1"/>
    <col min="6" max="6" width="12" customWidth="1"/>
    <col min="7" max="7" width="6" customWidth="1"/>
    <col min="8" max="11" width="9" customWidth="1"/>
    <col min="12" max="12" width="13" customWidth="1"/>
    <col min="13" max="13" width="13" hidden="1" customWidth="1"/>
    <col min="14" max="14" width="13" customWidth="1"/>
    <col min="15" max="18" width="11" customWidth="1"/>
    <col min="19" max="19" width="14" customWidth="1"/>
  </cols>
  <sheetData>
    <row r="1" spans="1:19" ht="32" x14ac:dyDescent="0.2">
      <c r="A1" s="1" t="s">
        <v>28</v>
      </c>
      <c r="B1" s="1" t="s">
        <v>4</v>
      </c>
      <c r="C1" s="1" t="s">
        <v>5</v>
      </c>
      <c r="D1" s="1" t="s">
        <v>29</v>
      </c>
      <c r="E1" s="1" t="s">
        <v>32</v>
      </c>
      <c r="F1" s="1" t="s">
        <v>30</v>
      </c>
      <c r="G1" s="1" t="s">
        <v>108</v>
      </c>
      <c r="H1" s="1" t="s">
        <v>107</v>
      </c>
      <c r="I1" s="1" t="s">
        <v>109</v>
      </c>
      <c r="J1" s="1" t="s">
        <v>110</v>
      </c>
      <c r="K1" s="1" t="s">
        <v>112</v>
      </c>
      <c r="L1" s="1" t="s">
        <v>113</v>
      </c>
      <c r="M1" s="8" t="s">
        <v>114</v>
      </c>
      <c r="N1" s="1" t="s">
        <v>115</v>
      </c>
      <c r="O1" s="1" t="s">
        <v>116</v>
      </c>
      <c r="P1" s="1" t="s">
        <v>117</v>
      </c>
      <c r="Q1" s="1" t="s">
        <v>2</v>
      </c>
      <c r="R1" s="1" t="s">
        <v>118</v>
      </c>
      <c r="S1" s="1" t="s">
        <v>119</v>
      </c>
    </row>
    <row r="2" spans="1:19" x14ac:dyDescent="0.2">
      <c r="A2" t="str">
        <f>Inputs!A2</f>
        <v>D-26-0001</v>
      </c>
      <c r="B2" t="str">
        <f>Inputs!B2</f>
        <v>Sarah O'Connor</v>
      </c>
      <c r="C2" t="str">
        <f>Inputs!C2</f>
        <v>EMEA</v>
      </c>
      <c r="D2" t="str">
        <f>Inputs!D2</f>
        <v>Support Plus</v>
      </c>
      <c r="E2" s="3">
        <f>Inputs!G2</f>
        <v>46023</v>
      </c>
      <c r="F2" s="2">
        <f>N(Inputs!E2)</f>
        <v>190000</v>
      </c>
      <c r="G2">
        <f t="shared" ref="G2:G33" si="0">IF(F2&gt;=1000000,9,IF(F2&gt;=600000,8,IF(F2&gt;=400000,7,IF(AND(C2="EMEA",F2&gt;=250000),6,IF(F2&gt;250000,6,IF(F2&gt;=150000,5,IF(F2&gt;=100000,4,IF(F2&gt;=50000,3,IF(F2&gt;=25000,2,1)))))))))</f>
        <v>5</v>
      </c>
      <c r="H2" s="6">
        <f>VLOOKUP(F2,Rates!$A$2:$B$10,2,TRUE)</f>
        <v>0.05</v>
      </c>
      <c r="I2" s="6">
        <f>INDEX(Rates!$E$2:$E$10,G2)</f>
        <v>7.4999999999999997E-3</v>
      </c>
      <c r="J2" s="6">
        <f>IFERROR(VLOOKUP(D2,Rates!$G$2:$H$6,2,FALSE),0)</f>
        <v>0</v>
      </c>
      <c r="K2" s="6">
        <f t="shared" ref="K2:K33" si="1">MIN(H2+I2+J2,0.18)</f>
        <v>5.7500000000000002E-2</v>
      </c>
      <c r="L2" s="9">
        <f>F2*K2*IFERROR(VLOOKUP(B2,Rates!$J$2:$K$13,2,FALSE),0)*1.07</f>
        <v>11689.75</v>
      </c>
      <c r="M2" s="10">
        <f>IF(Inputs!H2&gt;90,-0.02*L2,0)</f>
        <v>0</v>
      </c>
      <c r="N2" s="9">
        <f t="shared" ref="N2:N33" si="2">L2+M2</f>
        <v>11689.75</v>
      </c>
      <c r="O2" s="9">
        <f t="shared" ref="O2:O33" si="3">IF(ROUNDUP(MONTH($E2)/3,0)=1,$N2,0)</f>
        <v>11689.75</v>
      </c>
      <c r="P2" s="9">
        <f t="shared" ref="P2:P33" si="4">IF(ROUNDUP(MONTH($E2)/3,0)=2,$N2,0)</f>
        <v>0</v>
      </c>
      <c r="Q2" s="9">
        <f t="shared" ref="Q2:Q33" si="5">IF(ROUNDUP(MONTH($E2)/3,0)=3,$N2,0)</f>
        <v>0</v>
      </c>
      <c r="R2" s="9">
        <f t="shared" ref="R2:R33" si="6">IF(ROUNDUP(MONTH($E2)/3,0)=4,$N2,0)</f>
        <v>0</v>
      </c>
      <c r="S2" s="9">
        <f t="shared" ref="S2:S33" si="7">N2</f>
        <v>11689.75</v>
      </c>
    </row>
    <row r="3" spans="1:19" x14ac:dyDescent="0.2">
      <c r="A3" t="str">
        <f>Inputs!A3</f>
        <v>D-26-0002</v>
      </c>
      <c r="B3" t="str">
        <f>Inputs!B3</f>
        <v xml:space="preserve">Rohan Mehta </v>
      </c>
      <c r="C3" t="str">
        <f>Inputs!C3</f>
        <v>India</v>
      </c>
      <c r="D3" t="str">
        <f>Inputs!D3</f>
        <v>Core Platform</v>
      </c>
      <c r="E3" s="3">
        <f>Inputs!G3</f>
        <v>46025</v>
      </c>
      <c r="F3" s="2">
        <f>N(Inputs!E3)</f>
        <v>209000</v>
      </c>
      <c r="G3">
        <f t="shared" si="0"/>
        <v>5</v>
      </c>
      <c r="H3" s="6">
        <f>VLOOKUP(F3,Rates!$A$2:$B$10,2,TRUE)</f>
        <v>0.05</v>
      </c>
      <c r="I3" s="6">
        <f>INDEX(Rates!$E$2:$E$10,G3)</f>
        <v>7.4999999999999997E-3</v>
      </c>
      <c r="J3" s="6">
        <f>IFERROR(VLOOKUP(D3,Rates!$G$2:$H$6,2,FALSE),0)</f>
        <v>0</v>
      </c>
      <c r="K3" s="6">
        <f t="shared" si="1"/>
        <v>5.7500000000000002E-2</v>
      </c>
      <c r="L3" s="9">
        <f>F3*K3*IFERROR(VLOOKUP(B3,Rates!$J$2:$K$13,2,FALSE),0)</f>
        <v>0</v>
      </c>
      <c r="M3" s="10">
        <f>IF(Inputs!H3&gt;90,-0.02*L3,0)</f>
        <v>0</v>
      </c>
      <c r="N3" s="9">
        <f t="shared" si="2"/>
        <v>0</v>
      </c>
      <c r="O3" s="9">
        <f t="shared" si="3"/>
        <v>0</v>
      </c>
      <c r="P3" s="9">
        <f t="shared" si="4"/>
        <v>0</v>
      </c>
      <c r="Q3" s="9">
        <f t="shared" si="5"/>
        <v>0</v>
      </c>
      <c r="R3" s="9">
        <f t="shared" si="6"/>
        <v>0</v>
      </c>
      <c r="S3" s="9">
        <f t="shared" si="7"/>
        <v>0</v>
      </c>
    </row>
    <row r="4" spans="1:19" x14ac:dyDescent="0.2">
      <c r="A4" t="str">
        <f>Inputs!A4</f>
        <v>D-26-0003</v>
      </c>
      <c r="B4" t="str">
        <f>Inputs!B4</f>
        <v>Wei Zhang</v>
      </c>
      <c r="C4" t="str">
        <f>Inputs!C4</f>
        <v>APAC</v>
      </c>
      <c r="D4" t="str">
        <f>Inputs!D4</f>
        <v>Support Plus</v>
      </c>
      <c r="E4" s="3">
        <f>Inputs!G4</f>
        <v>46057</v>
      </c>
      <c r="F4" s="2">
        <f>N(Inputs!E4)</f>
        <v>250000</v>
      </c>
      <c r="G4">
        <f t="shared" si="0"/>
        <v>5</v>
      </c>
      <c r="H4" s="6">
        <f>VLOOKUP(F4,Rates!$A$2:$B$10,2,TRUE)</f>
        <v>7.0000000000000007E-2</v>
      </c>
      <c r="I4" s="6">
        <f>INDEX(Rates!$E$2:$E$10,G4)</f>
        <v>7.4999999999999997E-3</v>
      </c>
      <c r="J4" s="6">
        <f>IFERROR(VLOOKUP(D4,Rates!$G$2:$H$6,2,FALSE),0)</f>
        <v>0</v>
      </c>
      <c r="K4" s="6">
        <f t="shared" si="1"/>
        <v>7.7500000000000013E-2</v>
      </c>
      <c r="L4" s="9">
        <f>F4*K4*IFERROR(VLOOKUP(B4,Rates!$J$2:$K$13,2,FALSE),0)</f>
        <v>19375.000000000004</v>
      </c>
      <c r="M4" s="10">
        <f>IF(Inputs!H4&gt;90,-0.02*L4,0)</f>
        <v>-387.50000000000006</v>
      </c>
      <c r="N4" s="9">
        <f t="shared" si="2"/>
        <v>18987.500000000004</v>
      </c>
      <c r="O4" s="9">
        <f t="shared" si="3"/>
        <v>18987.500000000004</v>
      </c>
      <c r="P4" s="9">
        <f t="shared" si="4"/>
        <v>0</v>
      </c>
      <c r="Q4" s="9">
        <f t="shared" si="5"/>
        <v>0</v>
      </c>
      <c r="R4" s="9">
        <f t="shared" si="6"/>
        <v>0</v>
      </c>
      <c r="S4" s="9">
        <f t="shared" si="7"/>
        <v>18987.500000000004</v>
      </c>
    </row>
    <row r="5" spans="1:19" x14ac:dyDescent="0.2">
      <c r="A5" t="str">
        <f>Inputs!A5</f>
        <v>D-26-0004</v>
      </c>
      <c r="B5" t="str">
        <f>Inputs!B5</f>
        <v>Hiroshi Tanaka</v>
      </c>
      <c r="C5" t="str">
        <f>Inputs!C5</f>
        <v>APAC</v>
      </c>
      <c r="D5" t="str">
        <f>Inputs!D5</f>
        <v>Enterprise Suite</v>
      </c>
      <c r="E5" s="3">
        <f>Inputs!G5</f>
        <v>46064</v>
      </c>
      <c r="F5" s="2">
        <f>N(Inputs!E5)</f>
        <v>560000</v>
      </c>
      <c r="G5">
        <f t="shared" si="0"/>
        <v>7</v>
      </c>
      <c r="H5" s="6">
        <f>VLOOKUP(F5,Rates!$A$2:$B$10,2,TRUE)</f>
        <v>8.5000000000000006E-2</v>
      </c>
      <c r="I5" s="6">
        <f>INDEX(Rates!$E$2:$E$10,G5)</f>
        <v>1.4999999999999999E-2</v>
      </c>
      <c r="J5" s="6">
        <f>IFERROR(VLOOKUP(D5,Rates!$G$2:$H$6,2,FALSE),0)</f>
        <v>0.04</v>
      </c>
      <c r="K5" s="6">
        <f t="shared" si="1"/>
        <v>0.14000000000000001</v>
      </c>
      <c r="L5" s="9">
        <f>F5*K5*IFERROR(VLOOKUP(B5,Rates!$J$2:$K$13,2,FALSE),0)</f>
        <v>78400.000000000015</v>
      </c>
      <c r="M5" s="10">
        <f>IF(Inputs!H5&gt;90,-0.02*L5,0)</f>
        <v>0</v>
      </c>
      <c r="N5" s="9">
        <f t="shared" si="2"/>
        <v>78400.000000000015</v>
      </c>
      <c r="O5" s="9">
        <f t="shared" si="3"/>
        <v>78400.000000000015</v>
      </c>
      <c r="P5" s="9">
        <f t="shared" si="4"/>
        <v>0</v>
      </c>
      <c r="Q5" s="9">
        <f t="shared" si="5"/>
        <v>0</v>
      </c>
      <c r="R5" s="9">
        <f t="shared" si="6"/>
        <v>0</v>
      </c>
      <c r="S5" s="9">
        <f t="shared" si="7"/>
        <v>78400.000000000015</v>
      </c>
    </row>
    <row r="6" spans="1:19" x14ac:dyDescent="0.2">
      <c r="A6" t="str">
        <f>Inputs!A6</f>
        <v>D-26-0005</v>
      </c>
      <c r="B6" t="str">
        <f>Inputs!B6</f>
        <v>Wei Zhang</v>
      </c>
      <c r="C6" t="str">
        <f>Inputs!C6</f>
        <v>APAC</v>
      </c>
      <c r="D6" t="str">
        <f>Inputs!D6</f>
        <v>Data Connectors</v>
      </c>
      <c r="E6" s="3">
        <f>Inputs!G6</f>
        <v>46070</v>
      </c>
      <c r="F6" s="2">
        <f>N(Inputs!E6)</f>
        <v>305000</v>
      </c>
      <c r="G6">
        <f t="shared" si="0"/>
        <v>6</v>
      </c>
      <c r="H6" s="6">
        <f>VLOOKUP(F6,Rates!$A$2:$B$10,2,TRUE)</f>
        <v>7.0000000000000007E-2</v>
      </c>
      <c r="I6" s="6">
        <f>INDEX(Rates!$E$2:$E$10,G6)</f>
        <v>0.01</v>
      </c>
      <c r="J6" s="6">
        <f>IFERROR(VLOOKUP(D6,Rates!$G$2:$H$6,2,FALSE),0)</f>
        <v>0</v>
      </c>
      <c r="K6" s="6">
        <f t="shared" si="1"/>
        <v>0.08</v>
      </c>
      <c r="L6" s="9">
        <f>F6*K6*IFERROR(VLOOKUP(B6,Rates!$J$2:$K$13,2,FALSE),0)</f>
        <v>24400</v>
      </c>
      <c r="M6" s="10">
        <f>IF(Inputs!H6&gt;90,-0.02*L6,0)</f>
        <v>0</v>
      </c>
      <c r="N6" s="9">
        <f t="shared" si="2"/>
        <v>24400</v>
      </c>
      <c r="O6" s="9">
        <f t="shared" si="3"/>
        <v>24400</v>
      </c>
      <c r="P6" s="9">
        <f t="shared" si="4"/>
        <v>0</v>
      </c>
      <c r="Q6" s="9">
        <f t="shared" si="5"/>
        <v>0</v>
      </c>
      <c r="R6" s="9">
        <f t="shared" si="6"/>
        <v>0</v>
      </c>
      <c r="S6" s="9">
        <f t="shared" si="7"/>
        <v>24400</v>
      </c>
    </row>
    <row r="7" spans="1:19" x14ac:dyDescent="0.2">
      <c r="A7" t="str">
        <f>Inputs!A7</f>
        <v>D-26-0006</v>
      </c>
      <c r="B7" t="str">
        <f>Inputs!B7</f>
        <v xml:space="preserve">Rohan Mehta </v>
      </c>
      <c r="C7" t="str">
        <f>Inputs!C7</f>
        <v>India</v>
      </c>
      <c r="D7" t="str">
        <f>Inputs!D7</f>
        <v>Analytics Add-on</v>
      </c>
      <c r="E7" s="3">
        <f>Inputs!G7</f>
        <v>46089</v>
      </c>
      <c r="F7" s="2">
        <f>N(Inputs!E7)</f>
        <v>245000</v>
      </c>
      <c r="G7">
        <f t="shared" si="0"/>
        <v>5</v>
      </c>
      <c r="H7" s="6">
        <f>VLOOKUP(F7,Rates!$A$2:$B$10,2,TRUE)</f>
        <v>0.05</v>
      </c>
      <c r="I7" s="6">
        <f>INDEX(Rates!$E$2:$E$10,G7)</f>
        <v>7.4999999999999997E-3</v>
      </c>
      <c r="J7" s="6">
        <f>IFERROR(VLOOKUP(D7,Rates!$G$2:$H$6,2,FALSE),0)</f>
        <v>0.01</v>
      </c>
      <c r="K7" s="6">
        <f t="shared" si="1"/>
        <v>6.7500000000000004E-2</v>
      </c>
      <c r="L7" s="9">
        <f>F7*K7*IFERROR(VLOOKUP(B7,Rates!$J$2:$K$13,2,FALSE),0)</f>
        <v>0</v>
      </c>
      <c r="M7" s="10">
        <f>IF(Inputs!H7&gt;90,-0.02*L7,0)</f>
        <v>0</v>
      </c>
      <c r="N7" s="9">
        <f t="shared" si="2"/>
        <v>0</v>
      </c>
      <c r="O7" s="9">
        <f t="shared" si="3"/>
        <v>0</v>
      </c>
      <c r="P7" s="9">
        <f t="shared" si="4"/>
        <v>0</v>
      </c>
      <c r="Q7" s="9">
        <f t="shared" si="5"/>
        <v>0</v>
      </c>
      <c r="R7" s="9">
        <f t="shared" si="6"/>
        <v>0</v>
      </c>
      <c r="S7" s="9">
        <f t="shared" si="7"/>
        <v>0</v>
      </c>
    </row>
    <row r="8" spans="1:19" x14ac:dyDescent="0.2">
      <c r="A8" t="str">
        <f>Inputs!A8</f>
        <v>D-26-0007</v>
      </c>
      <c r="B8" t="str">
        <f>Inputs!B8</f>
        <v>Ananya Iyer</v>
      </c>
      <c r="C8" t="str">
        <f>Inputs!C8</f>
        <v>India</v>
      </c>
      <c r="D8" t="str">
        <f>Inputs!D8</f>
        <v>Enterprise Suite</v>
      </c>
      <c r="E8" s="3">
        <f>Inputs!G8</f>
        <v>46099</v>
      </c>
      <c r="F8" s="2">
        <f>N(Inputs!E8)</f>
        <v>140000</v>
      </c>
      <c r="G8">
        <f t="shared" si="0"/>
        <v>4</v>
      </c>
      <c r="H8" s="6">
        <f>VLOOKUP(F8,Rates!$A$2:$B$10,2,TRUE)</f>
        <v>0.05</v>
      </c>
      <c r="I8" s="6">
        <f>INDEX(Rates!$E$2:$E$10,G8)</f>
        <v>5.0000000000000001E-3</v>
      </c>
      <c r="J8" s="6">
        <f>IFERROR(VLOOKUP(D8,Rates!$G$2:$H$6,2,FALSE),0)</f>
        <v>0.04</v>
      </c>
      <c r="K8" s="6">
        <f t="shared" si="1"/>
        <v>9.5000000000000001E-2</v>
      </c>
      <c r="L8" s="9">
        <f>F8*K8*IFERROR(VLOOKUP(B8,Rates!$J$2:$K$13,2,FALSE),0)</f>
        <v>13300</v>
      </c>
      <c r="M8" s="10">
        <f>IF(Inputs!H8&gt;90,-0.02*L8,0)</f>
        <v>0</v>
      </c>
      <c r="N8" s="9">
        <f t="shared" si="2"/>
        <v>13300</v>
      </c>
      <c r="O8" s="9">
        <f t="shared" si="3"/>
        <v>13300</v>
      </c>
      <c r="P8" s="9">
        <f t="shared" si="4"/>
        <v>0</v>
      </c>
      <c r="Q8" s="9">
        <f t="shared" si="5"/>
        <v>0</v>
      </c>
      <c r="R8" s="9">
        <f t="shared" si="6"/>
        <v>0</v>
      </c>
      <c r="S8" s="9">
        <f t="shared" si="7"/>
        <v>13300</v>
      </c>
    </row>
    <row r="9" spans="1:19" x14ac:dyDescent="0.2">
      <c r="A9" t="str">
        <f>Inputs!A9</f>
        <v>D-26-0008</v>
      </c>
      <c r="B9" t="str">
        <f>Inputs!B9</f>
        <v>Priya Raman</v>
      </c>
      <c r="C9" t="str">
        <f>Inputs!C9</f>
        <v>APAC</v>
      </c>
      <c r="D9" t="str">
        <f>Inputs!D9</f>
        <v>Data Connectors</v>
      </c>
      <c r="E9" s="3">
        <f>Inputs!G9</f>
        <v>46099</v>
      </c>
      <c r="F9" s="2">
        <f>N(Inputs!E9)</f>
        <v>563500</v>
      </c>
      <c r="G9">
        <f t="shared" si="0"/>
        <v>7</v>
      </c>
      <c r="H9" s="6">
        <f>VLOOKUP(F9,Rates!$A$2:$B$10,2,TRUE)</f>
        <v>8.5000000000000006E-2</v>
      </c>
      <c r="I9" s="6">
        <f>INDEX(Rates!$E$2:$E$10,G9)</f>
        <v>1.4999999999999999E-2</v>
      </c>
      <c r="J9" s="6">
        <f>IFERROR(VLOOKUP(D9,Rates!$G$2:$H$6,2,FALSE),0)</f>
        <v>0</v>
      </c>
      <c r="K9" s="6">
        <f t="shared" si="1"/>
        <v>0.1</v>
      </c>
      <c r="L9" s="9">
        <f>F9*K9*IFERROR(VLOOKUP(B9,Rates!$J$2:$K$13,2,FALSE),0)</f>
        <v>56350</v>
      </c>
      <c r="M9" s="10">
        <f>IF(Inputs!H9&gt;90,-0.02*L9,0)</f>
        <v>0</v>
      </c>
      <c r="N9" s="9">
        <f t="shared" si="2"/>
        <v>56350</v>
      </c>
      <c r="O9" s="9">
        <f t="shared" si="3"/>
        <v>56350</v>
      </c>
      <c r="P9" s="9">
        <f t="shared" si="4"/>
        <v>0</v>
      </c>
      <c r="Q9" s="9">
        <f t="shared" si="5"/>
        <v>0</v>
      </c>
      <c r="R9" s="9">
        <f t="shared" si="6"/>
        <v>0</v>
      </c>
      <c r="S9" s="9">
        <f t="shared" si="7"/>
        <v>56350</v>
      </c>
    </row>
    <row r="10" spans="1:19" x14ac:dyDescent="0.2">
      <c r="A10" t="str">
        <f>Inputs!A10</f>
        <v>D-26-0009</v>
      </c>
      <c r="B10" t="str">
        <f>Inputs!B10</f>
        <v>Vikram Singh</v>
      </c>
      <c r="C10" t="str">
        <f>Inputs!C10</f>
        <v>India</v>
      </c>
      <c r="D10" t="str">
        <f>Inputs!D10</f>
        <v>Core Platform</v>
      </c>
      <c r="E10" s="3">
        <f>Inputs!G10</f>
        <v>46127</v>
      </c>
      <c r="F10" s="2">
        <f>N(Inputs!E10)</f>
        <v>140000</v>
      </c>
      <c r="G10">
        <f t="shared" si="0"/>
        <v>4</v>
      </c>
      <c r="H10" s="6">
        <f>VLOOKUP(F10,Rates!$A$2:$B$10,2,TRUE)</f>
        <v>0.05</v>
      </c>
      <c r="I10" s="6">
        <f>INDEX(Rates!$E$2:$E$10,G10)</f>
        <v>5.0000000000000001E-3</v>
      </c>
      <c r="J10" s="6">
        <f>IFERROR(VLOOKUP(D10,Rates!$G$2:$H$6,2,FALSE),0)</f>
        <v>0</v>
      </c>
      <c r="K10" s="6">
        <f t="shared" si="1"/>
        <v>5.5E-2</v>
      </c>
      <c r="L10" s="9">
        <f>F10*K10*IFERROR(VLOOKUP(B10,Rates!$J$2:$K$13,2,FALSE),0)</f>
        <v>7700</v>
      </c>
      <c r="M10" s="10">
        <f>IF(Inputs!H10&gt;90,-0.02*L10,0)</f>
        <v>0</v>
      </c>
      <c r="N10" s="9">
        <f t="shared" si="2"/>
        <v>7700</v>
      </c>
      <c r="O10" s="9">
        <f t="shared" si="3"/>
        <v>0</v>
      </c>
      <c r="P10" s="9">
        <f t="shared" si="4"/>
        <v>7700</v>
      </c>
      <c r="Q10" s="9">
        <f t="shared" si="5"/>
        <v>0</v>
      </c>
      <c r="R10" s="9">
        <f t="shared" si="6"/>
        <v>0</v>
      </c>
      <c r="S10" s="9">
        <f t="shared" si="7"/>
        <v>7700</v>
      </c>
    </row>
    <row r="11" spans="1:19" x14ac:dyDescent="0.2">
      <c r="A11" t="str">
        <f>Inputs!A11</f>
        <v>D-26-0010</v>
      </c>
      <c r="B11" t="str">
        <f>Inputs!B11</f>
        <v>Vikram Singh</v>
      </c>
      <c r="C11" t="str">
        <f>Inputs!C11</f>
        <v>India</v>
      </c>
      <c r="D11" t="str">
        <f>Inputs!D11</f>
        <v>Data Connectors</v>
      </c>
      <c r="E11" s="3">
        <f>Inputs!G11</f>
        <v>46128</v>
      </c>
      <c r="F11" s="2">
        <f>N(Inputs!E11)</f>
        <v>249000</v>
      </c>
      <c r="G11">
        <f t="shared" si="0"/>
        <v>5</v>
      </c>
      <c r="H11" s="6">
        <f>VLOOKUP(F11,Rates!$A$2:$B$10,2,TRUE)</f>
        <v>0.05</v>
      </c>
      <c r="I11" s="6">
        <f>INDEX(Rates!$E$2:$E$10,G11)</f>
        <v>7.4999999999999997E-3</v>
      </c>
      <c r="J11" s="6">
        <f>IFERROR(VLOOKUP(D11,Rates!$G$2:$H$6,2,FALSE),0)</f>
        <v>0</v>
      </c>
      <c r="K11" s="6">
        <f t="shared" si="1"/>
        <v>5.7500000000000002E-2</v>
      </c>
      <c r="L11" s="9">
        <f>F11*K11*IFERROR(VLOOKUP(B11,Rates!$J$2:$K$13,2,FALSE),0)</f>
        <v>14317.5</v>
      </c>
      <c r="M11" s="10">
        <f>IF(Inputs!H11&gt;90,-0.02*L11,0)</f>
        <v>0</v>
      </c>
      <c r="N11" s="9">
        <f t="shared" si="2"/>
        <v>14317.5</v>
      </c>
      <c r="O11" s="9">
        <f t="shared" si="3"/>
        <v>0</v>
      </c>
      <c r="P11" s="9">
        <f t="shared" si="4"/>
        <v>14317.5</v>
      </c>
      <c r="Q11" s="9">
        <f t="shared" si="5"/>
        <v>0</v>
      </c>
      <c r="R11" s="9">
        <f t="shared" si="6"/>
        <v>0</v>
      </c>
      <c r="S11" s="9">
        <f t="shared" si="7"/>
        <v>14317.5</v>
      </c>
    </row>
    <row r="12" spans="1:19" x14ac:dyDescent="0.2">
      <c r="A12" t="str">
        <f>Inputs!A12</f>
        <v>D-26-0011</v>
      </c>
      <c r="B12" t="str">
        <f>Inputs!B12</f>
        <v>Ananya Iyer</v>
      </c>
      <c r="C12" t="str">
        <f>Inputs!C12</f>
        <v>India</v>
      </c>
      <c r="D12" t="str">
        <f>Inputs!D12</f>
        <v>Data Connectors</v>
      </c>
      <c r="E12" s="3">
        <f>Inputs!G12</f>
        <v>46129</v>
      </c>
      <c r="F12" s="2">
        <f>N(Inputs!E12)</f>
        <v>84500</v>
      </c>
      <c r="G12">
        <f t="shared" si="0"/>
        <v>3</v>
      </c>
      <c r="H12" s="6">
        <f>VLOOKUP(F12,Rates!$A$2:$B$10,2,TRUE)</f>
        <v>0.04</v>
      </c>
      <c r="I12" s="6">
        <f>INDEX(Rates!$E$2:$E$10,G12)</f>
        <v>2.5000000000000001E-3</v>
      </c>
      <c r="J12" s="6">
        <f>IFERROR(VLOOKUP(D12,Rates!$G$2:$H$6,2,FALSE),0)</f>
        <v>0</v>
      </c>
      <c r="K12" s="6">
        <f t="shared" si="1"/>
        <v>4.2500000000000003E-2</v>
      </c>
      <c r="L12" s="9">
        <f>F12*K12*IFERROR(VLOOKUP(B12,Rates!$J$2:$K$13,2,FALSE),0)</f>
        <v>3591.2500000000005</v>
      </c>
      <c r="M12" s="10">
        <f>IF(Inputs!H12&gt;90,-0.02*L12,0)</f>
        <v>0</v>
      </c>
      <c r="N12" s="9">
        <f t="shared" si="2"/>
        <v>3591.2500000000005</v>
      </c>
      <c r="O12" s="9">
        <f t="shared" si="3"/>
        <v>0</v>
      </c>
      <c r="P12" s="9">
        <f t="shared" si="4"/>
        <v>3591.2500000000005</v>
      </c>
      <c r="Q12" s="9">
        <f t="shared" si="5"/>
        <v>0</v>
      </c>
      <c r="R12" s="9">
        <f t="shared" si="6"/>
        <v>0</v>
      </c>
      <c r="S12" s="9">
        <f t="shared" si="7"/>
        <v>3591.2500000000005</v>
      </c>
    </row>
    <row r="13" spans="1:19" x14ac:dyDescent="0.2">
      <c r="A13" t="str">
        <f>Inputs!A13</f>
        <v>D-26-0012</v>
      </c>
      <c r="B13" t="str">
        <f>Inputs!B13</f>
        <v>Ananya Iyer</v>
      </c>
      <c r="C13" t="str">
        <f>Inputs!C13</f>
        <v>India</v>
      </c>
      <c r="D13" t="str">
        <f>Inputs!D13</f>
        <v>Core Platform</v>
      </c>
      <c r="E13" s="3">
        <f>Inputs!G13</f>
        <v>46137</v>
      </c>
      <c r="F13" s="2">
        <f>N(Inputs!E13)</f>
        <v>62500</v>
      </c>
      <c r="G13">
        <f t="shared" si="0"/>
        <v>3</v>
      </c>
      <c r="H13" s="6">
        <f>VLOOKUP(F13,Rates!$A$2:$B$10,2,TRUE)</f>
        <v>0.04</v>
      </c>
      <c r="I13" s="6">
        <f>INDEX(Rates!$E$2:$E$10,G13)</f>
        <v>2.5000000000000001E-3</v>
      </c>
      <c r="J13" s="6">
        <f>IFERROR(VLOOKUP(D13,Rates!$G$2:$H$6,2,FALSE),0)</f>
        <v>0</v>
      </c>
      <c r="K13" s="6">
        <f t="shared" si="1"/>
        <v>4.2500000000000003E-2</v>
      </c>
      <c r="L13" s="9">
        <f>F13*K13*IFERROR(VLOOKUP(B13,Rates!$J$2:$K$13,2,FALSE),0)</f>
        <v>2656.25</v>
      </c>
      <c r="M13" s="10">
        <f>IF(Inputs!H13&gt;90,-0.02*L13,0)</f>
        <v>0</v>
      </c>
      <c r="N13" s="9">
        <f t="shared" si="2"/>
        <v>2656.25</v>
      </c>
      <c r="O13" s="9">
        <f t="shared" si="3"/>
        <v>0</v>
      </c>
      <c r="P13" s="9">
        <f t="shared" si="4"/>
        <v>2656.25</v>
      </c>
      <c r="Q13" s="9">
        <f t="shared" si="5"/>
        <v>0</v>
      </c>
      <c r="R13" s="9">
        <f t="shared" si="6"/>
        <v>0</v>
      </c>
      <c r="S13" s="9">
        <f t="shared" si="7"/>
        <v>2656.25</v>
      </c>
    </row>
    <row r="14" spans="1:19" x14ac:dyDescent="0.2">
      <c r="A14" t="str">
        <f>Inputs!A14</f>
        <v>D-26-0013</v>
      </c>
      <c r="B14" t="str">
        <f>Inputs!B14</f>
        <v>Michael Brooks</v>
      </c>
      <c r="C14" t="str">
        <f>Inputs!C14</f>
        <v>AMER</v>
      </c>
      <c r="D14" t="str">
        <f>Inputs!D14</f>
        <v>Enterprise Suite</v>
      </c>
      <c r="E14" s="3">
        <f>Inputs!G14</f>
        <v>46146</v>
      </c>
      <c r="F14" s="2">
        <f>N(Inputs!E14)</f>
        <v>241000</v>
      </c>
      <c r="G14">
        <f t="shared" si="0"/>
        <v>5</v>
      </c>
      <c r="H14" s="6">
        <f>VLOOKUP(F14,Rates!$A$2:$B$10,2,TRUE)</f>
        <v>0.05</v>
      </c>
      <c r="I14" s="6">
        <f>INDEX(Rates!$E$2:$E$10,G14)</f>
        <v>7.4999999999999997E-3</v>
      </c>
      <c r="J14" s="6">
        <f>IFERROR(VLOOKUP(D14,Rates!$G$2:$H$6,2,FALSE),0)</f>
        <v>0.04</v>
      </c>
      <c r="K14" s="6">
        <f t="shared" si="1"/>
        <v>9.7500000000000003E-2</v>
      </c>
      <c r="L14" s="9">
        <f>F14*K14*IFERROR(VLOOKUP(B14,Rates!$J$2:$K$13,2,FALSE),0)</f>
        <v>23497.5</v>
      </c>
      <c r="M14" s="10">
        <f>IF(Inputs!H14&gt;90,-0.02*L14,0)</f>
        <v>-469.95</v>
      </c>
      <c r="N14" s="9">
        <f t="shared" si="2"/>
        <v>23027.55</v>
      </c>
      <c r="O14" s="9">
        <f t="shared" si="3"/>
        <v>0</v>
      </c>
      <c r="P14" s="9">
        <f t="shared" si="4"/>
        <v>23027.55</v>
      </c>
      <c r="Q14" s="9">
        <f t="shared" si="5"/>
        <v>0</v>
      </c>
      <c r="R14" s="9">
        <f t="shared" si="6"/>
        <v>0</v>
      </c>
      <c r="S14" s="9">
        <f t="shared" si="7"/>
        <v>23027.55</v>
      </c>
    </row>
    <row r="15" spans="1:19" x14ac:dyDescent="0.2">
      <c r="A15" t="str">
        <f>Inputs!A15</f>
        <v>D-26-0014</v>
      </c>
      <c r="B15" t="str">
        <f>Inputs!B15</f>
        <v>Michael Brooks</v>
      </c>
      <c r="C15" t="str">
        <f>Inputs!C15</f>
        <v>AMER</v>
      </c>
      <c r="D15" t="str">
        <f>Inputs!D15</f>
        <v>Data Connectors</v>
      </c>
      <c r="E15" s="3">
        <f>Inputs!G15</f>
        <v>46154</v>
      </c>
      <c r="F15" s="2">
        <f>N(Inputs!E15)</f>
        <v>250000</v>
      </c>
      <c r="G15">
        <f t="shared" si="0"/>
        <v>5</v>
      </c>
      <c r="H15" s="6">
        <f>VLOOKUP(F15,Rates!$A$2:$B$10,2,TRUE)</f>
        <v>7.0000000000000007E-2</v>
      </c>
      <c r="I15" s="6">
        <f>INDEX(Rates!$E$2:$E$10,G15)</f>
        <v>7.4999999999999997E-3</v>
      </c>
      <c r="J15" s="6">
        <f>IFERROR(VLOOKUP(D15,Rates!$G$2:$H$6,2,FALSE),0)</f>
        <v>0</v>
      </c>
      <c r="K15" s="6">
        <f t="shared" si="1"/>
        <v>7.7500000000000013E-2</v>
      </c>
      <c r="L15" s="9">
        <f>F15*K15*IFERROR(VLOOKUP(B15,Rates!$J$2:$K$13,2,FALSE),0)</f>
        <v>19375.000000000004</v>
      </c>
      <c r="M15" s="10">
        <f>IF(Inputs!H15&gt;90,-0.02*L15,0)</f>
        <v>0</v>
      </c>
      <c r="N15" s="9">
        <f t="shared" si="2"/>
        <v>19375.000000000004</v>
      </c>
      <c r="O15" s="9">
        <f t="shared" si="3"/>
        <v>0</v>
      </c>
      <c r="P15" s="9">
        <f t="shared" si="4"/>
        <v>19375.000000000004</v>
      </c>
      <c r="Q15" s="9">
        <f t="shared" si="5"/>
        <v>0</v>
      </c>
      <c r="R15" s="9">
        <f t="shared" si="6"/>
        <v>0</v>
      </c>
      <c r="S15" s="9">
        <f t="shared" si="7"/>
        <v>19375.000000000004</v>
      </c>
    </row>
    <row r="16" spans="1:19" x14ac:dyDescent="0.2">
      <c r="A16" t="str">
        <f>Inputs!A16</f>
        <v>D-26-0015</v>
      </c>
      <c r="B16" t="str">
        <f>Inputs!B16</f>
        <v>Jessica Alvarez</v>
      </c>
      <c r="C16" t="str">
        <f>Inputs!C16</f>
        <v>AMER</v>
      </c>
      <c r="D16" t="str">
        <f>Inputs!D16</f>
        <v>Support Plus</v>
      </c>
      <c r="E16" s="3">
        <f>Inputs!G16</f>
        <v>46161</v>
      </c>
      <c r="F16" s="2">
        <f>N(Inputs!E16)</f>
        <v>0</v>
      </c>
      <c r="G16">
        <f t="shared" si="0"/>
        <v>1</v>
      </c>
      <c r="H16" s="6">
        <f>VLOOKUP(F16,Rates!$A$2:$B$10,2,TRUE)</f>
        <v>0.02</v>
      </c>
      <c r="I16" s="6">
        <f>INDEX(Rates!$E$2:$E$10,G16)</f>
        <v>0</v>
      </c>
      <c r="J16" s="6">
        <f>IFERROR(VLOOKUP(D16,Rates!$G$2:$H$6,2,FALSE),0)</f>
        <v>0</v>
      </c>
      <c r="K16" s="6">
        <f t="shared" si="1"/>
        <v>0.02</v>
      </c>
      <c r="L16" s="9">
        <f>F16*K16*IFERROR(VLOOKUP(B16,Rates!$J$2:$K$13,2,FALSE),0)</f>
        <v>0</v>
      </c>
      <c r="M16" s="10">
        <f>IF(Inputs!H16&gt;90,-0.02*L16,0)</f>
        <v>0</v>
      </c>
      <c r="N16" s="9">
        <f t="shared" si="2"/>
        <v>0</v>
      </c>
      <c r="O16" s="9">
        <f t="shared" si="3"/>
        <v>0</v>
      </c>
      <c r="P16" s="9">
        <f t="shared" si="4"/>
        <v>0</v>
      </c>
      <c r="Q16" s="9">
        <f t="shared" si="5"/>
        <v>0</v>
      </c>
      <c r="R16" s="9">
        <f t="shared" si="6"/>
        <v>0</v>
      </c>
      <c r="S16" s="9">
        <f t="shared" si="7"/>
        <v>0</v>
      </c>
    </row>
    <row r="17" spans="1:19" x14ac:dyDescent="0.2">
      <c r="A17" t="str">
        <f>Inputs!A17</f>
        <v>D-26-0016</v>
      </c>
      <c r="B17" t="str">
        <f>Inputs!B17</f>
        <v>Jessica Alvarez</v>
      </c>
      <c r="C17" t="str">
        <f>Inputs!C17</f>
        <v>AMER</v>
      </c>
      <c r="D17" t="str">
        <f>Inputs!D17</f>
        <v>Analytics Add-on</v>
      </c>
      <c r="E17" s="3">
        <f>Inputs!G17</f>
        <v>46179</v>
      </c>
      <c r="F17" s="2">
        <f>N(Inputs!E17)</f>
        <v>23500</v>
      </c>
      <c r="G17">
        <f t="shared" si="0"/>
        <v>1</v>
      </c>
      <c r="H17" s="6">
        <f>VLOOKUP(F17,Rates!$A$2:$B$10,2,TRUE)</f>
        <v>0.02</v>
      </c>
      <c r="I17" s="6">
        <f>INDEX(Rates!$E$2:$E$10,G17)</f>
        <v>0</v>
      </c>
      <c r="J17" s="6">
        <f>IFERROR(VLOOKUP(D17,Rates!$G$2:$H$6,2,FALSE),0)</f>
        <v>0.01</v>
      </c>
      <c r="K17" s="6">
        <f t="shared" si="1"/>
        <v>0.03</v>
      </c>
      <c r="L17" s="9">
        <f>F17*K17*IFERROR(VLOOKUP(B17,Rates!$J$2:$K$13,2,FALSE),0)</f>
        <v>705</v>
      </c>
      <c r="M17" s="10">
        <f>IF(Inputs!H17&gt;90,-0.02*L17,0)</f>
        <v>0</v>
      </c>
      <c r="N17" s="9">
        <f t="shared" si="2"/>
        <v>705</v>
      </c>
      <c r="O17" s="9">
        <f t="shared" si="3"/>
        <v>0</v>
      </c>
      <c r="P17" s="9">
        <f t="shared" si="4"/>
        <v>705</v>
      </c>
      <c r="Q17" s="9">
        <f t="shared" si="5"/>
        <v>0</v>
      </c>
      <c r="R17" s="9">
        <f t="shared" si="6"/>
        <v>0</v>
      </c>
      <c r="S17" s="9">
        <f t="shared" si="7"/>
        <v>705</v>
      </c>
    </row>
    <row r="18" spans="1:19" x14ac:dyDescent="0.2">
      <c r="A18" t="str">
        <f>Inputs!A18</f>
        <v>D-26-0017</v>
      </c>
      <c r="B18" t="str">
        <f>Inputs!B18</f>
        <v>Hiroshi Tanaka</v>
      </c>
      <c r="C18" t="str">
        <f>Inputs!C18</f>
        <v>APAC</v>
      </c>
      <c r="D18" t="str">
        <f>Inputs!D18</f>
        <v>Support Plus</v>
      </c>
      <c r="E18" s="3">
        <f>Inputs!G18</f>
        <v>46182</v>
      </c>
      <c r="F18" s="2">
        <f>N(Inputs!E18)</f>
        <v>47000</v>
      </c>
      <c r="G18">
        <f t="shared" si="0"/>
        <v>2</v>
      </c>
      <c r="H18" s="6">
        <f>VLOOKUP(F18,Rates!$A$2:$B$10,2,TRUE)</f>
        <v>0.03</v>
      </c>
      <c r="I18" s="6">
        <f>INDEX(Rates!$E$2:$E$10,G18)</f>
        <v>0</v>
      </c>
      <c r="J18" s="6">
        <f>IFERROR(VLOOKUP(D18,Rates!$G$2:$H$6,2,FALSE),0)</f>
        <v>0</v>
      </c>
      <c r="K18" s="6">
        <f t="shared" si="1"/>
        <v>0.03</v>
      </c>
      <c r="L18" s="9">
        <f>F18*K18*IFERROR(VLOOKUP(B18,Rates!$J$2:$K$13,2,FALSE),0)</f>
        <v>1410</v>
      </c>
      <c r="M18" s="10">
        <f>IF(Inputs!H18&gt;90,-0.02*L18,0)</f>
        <v>0</v>
      </c>
      <c r="N18" s="9">
        <f t="shared" si="2"/>
        <v>1410</v>
      </c>
      <c r="O18" s="9">
        <f t="shared" si="3"/>
        <v>0</v>
      </c>
      <c r="P18" s="9">
        <f t="shared" si="4"/>
        <v>1410</v>
      </c>
      <c r="Q18" s="9">
        <f t="shared" si="5"/>
        <v>0</v>
      </c>
      <c r="R18" s="9">
        <f t="shared" si="6"/>
        <v>0</v>
      </c>
      <c r="S18" s="9">
        <f t="shared" si="7"/>
        <v>1410</v>
      </c>
    </row>
    <row r="19" spans="1:19" x14ac:dyDescent="0.2">
      <c r="A19" t="str">
        <f>Inputs!A19</f>
        <v>D-26-0018</v>
      </c>
      <c r="B19" t="str">
        <f>Inputs!B19</f>
        <v>Daniel Kim</v>
      </c>
      <c r="C19" t="str">
        <f>Inputs!C19</f>
        <v>AMER</v>
      </c>
      <c r="D19" t="str">
        <f>Inputs!D19</f>
        <v>Support Plus</v>
      </c>
      <c r="E19" s="3">
        <f>Inputs!G19</f>
        <v>46188</v>
      </c>
      <c r="F19" s="2">
        <f>N(Inputs!E19)</f>
        <v>40500</v>
      </c>
      <c r="G19">
        <f t="shared" si="0"/>
        <v>2</v>
      </c>
      <c r="H19" s="6">
        <f>VLOOKUP(F19,Rates!$A$2:$B$10,2,TRUE)</f>
        <v>0.03</v>
      </c>
      <c r="I19" s="6">
        <f>INDEX(Rates!$E$2:$E$10,G19)</f>
        <v>0</v>
      </c>
      <c r="J19" s="6">
        <f>IFERROR(VLOOKUP(D19,Rates!$G$2:$H$6,2,FALSE),0)</f>
        <v>0</v>
      </c>
      <c r="K19" s="6">
        <f t="shared" si="1"/>
        <v>0.03</v>
      </c>
      <c r="L19" s="9">
        <f>F19*K19*IFERROR(VLOOKUP(B19,Rates!$J$2:$K$13,2,FALSE),0)</f>
        <v>607.5</v>
      </c>
      <c r="M19" s="10">
        <f>IF(Inputs!H19&gt;90,-0.02*L19,0)</f>
        <v>0</v>
      </c>
      <c r="N19" s="9">
        <f t="shared" si="2"/>
        <v>607.5</v>
      </c>
      <c r="O19" s="9">
        <f t="shared" si="3"/>
        <v>0</v>
      </c>
      <c r="P19" s="9">
        <f t="shared" si="4"/>
        <v>607.5</v>
      </c>
      <c r="Q19" s="9">
        <f t="shared" si="5"/>
        <v>0</v>
      </c>
      <c r="R19" s="9">
        <f t="shared" si="6"/>
        <v>0</v>
      </c>
      <c r="S19" s="9">
        <f t="shared" si="7"/>
        <v>607.5</v>
      </c>
    </row>
    <row r="20" spans="1:19" x14ac:dyDescent="0.2">
      <c r="A20" t="str">
        <f>Inputs!A20</f>
        <v>D-26-0019</v>
      </c>
      <c r="B20" t="str">
        <f>Inputs!B20</f>
        <v xml:space="preserve">Rohan Mehta </v>
      </c>
      <c r="C20" t="str">
        <f>Inputs!C20</f>
        <v>India</v>
      </c>
      <c r="D20" t="str">
        <f>Inputs!D20</f>
        <v>Enterprise Suite</v>
      </c>
      <c r="E20" s="3">
        <f>Inputs!G20</f>
        <v>46188</v>
      </c>
      <c r="F20" s="2">
        <f>N(Inputs!E20)</f>
        <v>527500</v>
      </c>
      <c r="G20">
        <f t="shared" si="0"/>
        <v>7</v>
      </c>
      <c r="H20" s="6">
        <f>VLOOKUP(F20,Rates!$A$2:$B$10,2,TRUE)</f>
        <v>8.5000000000000006E-2</v>
      </c>
      <c r="I20" s="6">
        <f>INDEX(Rates!$E$2:$E$10,G20)</f>
        <v>1.4999999999999999E-2</v>
      </c>
      <c r="J20" s="6">
        <f>IFERROR(VLOOKUP(D20,Rates!$G$2:$H$6,2,FALSE),0)</f>
        <v>0.04</v>
      </c>
      <c r="K20" s="6">
        <f t="shared" si="1"/>
        <v>0.14000000000000001</v>
      </c>
      <c r="L20" s="9">
        <f>F20*K20*IFERROR(VLOOKUP(B20,Rates!$J$2:$K$13,2,FALSE),0)</f>
        <v>0</v>
      </c>
      <c r="M20" s="10">
        <f>IF(Inputs!H20&gt;90,-0.02*L20,0)</f>
        <v>0</v>
      </c>
      <c r="N20" s="9">
        <f t="shared" si="2"/>
        <v>0</v>
      </c>
      <c r="O20" s="9">
        <f t="shared" si="3"/>
        <v>0</v>
      </c>
      <c r="P20" s="9">
        <f t="shared" si="4"/>
        <v>0</v>
      </c>
      <c r="Q20" s="9">
        <f t="shared" si="5"/>
        <v>0</v>
      </c>
      <c r="R20" s="9">
        <f t="shared" si="6"/>
        <v>0</v>
      </c>
      <c r="S20" s="9">
        <f t="shared" si="7"/>
        <v>0</v>
      </c>
    </row>
    <row r="21" spans="1:19" x14ac:dyDescent="0.2">
      <c r="A21" t="str">
        <f>Inputs!A21</f>
        <v>D-26-0020</v>
      </c>
      <c r="B21" t="str">
        <f>Inputs!B21</f>
        <v xml:space="preserve">Rohan Mehta </v>
      </c>
      <c r="C21" t="str">
        <f>Inputs!C21</f>
        <v>India</v>
      </c>
      <c r="D21" t="str">
        <f>Inputs!D21</f>
        <v>Core Platform</v>
      </c>
      <c r="E21" s="3">
        <f>Inputs!G21</f>
        <v>46195</v>
      </c>
      <c r="F21" s="2">
        <f>N(Inputs!E21)</f>
        <v>455000</v>
      </c>
      <c r="G21">
        <f t="shared" si="0"/>
        <v>7</v>
      </c>
      <c r="H21" s="6">
        <f>VLOOKUP(F21,Rates!$A$2:$B$10,2,TRUE)</f>
        <v>8.5000000000000006E-2</v>
      </c>
      <c r="I21" s="6">
        <f>INDEX(Rates!$E$2:$E$10,G21)</f>
        <v>1.4999999999999999E-2</v>
      </c>
      <c r="J21" s="6">
        <f>IFERROR(VLOOKUP(D21,Rates!$G$2:$H$6,2,FALSE),0)</f>
        <v>0</v>
      </c>
      <c r="K21" s="6">
        <f t="shared" si="1"/>
        <v>0.1</v>
      </c>
      <c r="L21" s="9">
        <f>F21*K21*IFERROR(VLOOKUP(B21,Rates!$J$2:$K$13,2,FALSE),0)</f>
        <v>0</v>
      </c>
      <c r="M21" s="10">
        <f>IF(Inputs!H21&gt;90,-0.02*L21,0)</f>
        <v>0</v>
      </c>
      <c r="N21" s="9">
        <f t="shared" si="2"/>
        <v>0</v>
      </c>
      <c r="O21" s="9">
        <f t="shared" si="3"/>
        <v>0</v>
      </c>
      <c r="P21" s="9">
        <f t="shared" si="4"/>
        <v>0</v>
      </c>
      <c r="Q21" s="9">
        <f t="shared" si="5"/>
        <v>0</v>
      </c>
      <c r="R21" s="9">
        <f t="shared" si="6"/>
        <v>0</v>
      </c>
      <c r="S21" s="9">
        <f t="shared" si="7"/>
        <v>0</v>
      </c>
    </row>
    <row r="22" spans="1:19" x14ac:dyDescent="0.2">
      <c r="A22" t="str">
        <f>Inputs!A22</f>
        <v>D-26-0021</v>
      </c>
      <c r="B22" t="str">
        <f>Inputs!B22</f>
        <v>Daniel Kim</v>
      </c>
      <c r="C22" t="str">
        <f>Inputs!C22</f>
        <v>AMER</v>
      </c>
      <c r="D22" t="str">
        <f>Inputs!D22</f>
        <v>Core Platform</v>
      </c>
      <c r="E22" s="3">
        <f>Inputs!G22</f>
        <v>46204</v>
      </c>
      <c r="F22" s="2">
        <f>N(Inputs!E22)</f>
        <v>46000</v>
      </c>
      <c r="G22">
        <f t="shared" si="0"/>
        <v>2</v>
      </c>
      <c r="H22" s="6">
        <f>VLOOKUP(F22,Rates!$A$2:$B$10,2,TRUE)</f>
        <v>0.03</v>
      </c>
      <c r="I22" s="6">
        <f>INDEX(Rates!$E$2:$E$10,G22)</f>
        <v>0</v>
      </c>
      <c r="J22" s="6">
        <f>IFERROR(VLOOKUP(D22,Rates!$G$2:$H$6,2,FALSE),0)</f>
        <v>0</v>
      </c>
      <c r="K22" s="6">
        <f t="shared" si="1"/>
        <v>0.03</v>
      </c>
      <c r="L22" s="9">
        <f>F22*K22*IFERROR(VLOOKUP(B22,Rates!$J$2:$K$13,2,FALSE),0)</f>
        <v>690</v>
      </c>
      <c r="M22" s="10">
        <f>IF(Inputs!H22&gt;90,-0.02*L22,0)</f>
        <v>0</v>
      </c>
      <c r="N22" s="9">
        <f t="shared" si="2"/>
        <v>690</v>
      </c>
      <c r="O22" s="9">
        <f t="shared" si="3"/>
        <v>0</v>
      </c>
      <c r="P22" s="9">
        <f t="shared" si="4"/>
        <v>0</v>
      </c>
      <c r="Q22" s="9">
        <f t="shared" si="5"/>
        <v>690</v>
      </c>
      <c r="R22" s="9">
        <f t="shared" si="6"/>
        <v>0</v>
      </c>
      <c r="S22" s="9">
        <f t="shared" si="7"/>
        <v>690</v>
      </c>
    </row>
    <row r="23" spans="1:19" x14ac:dyDescent="0.2">
      <c r="A23" t="str">
        <f>Inputs!A23</f>
        <v>D-26-0022</v>
      </c>
      <c r="B23" t="str">
        <f>Inputs!B23</f>
        <v>Lukas Becker</v>
      </c>
      <c r="C23" t="str">
        <f>Inputs!C23</f>
        <v>EMEA</v>
      </c>
      <c r="D23" t="str">
        <f>Inputs!D23</f>
        <v>Data Connectors</v>
      </c>
      <c r="E23" s="3">
        <f>Inputs!G23</f>
        <v>46207</v>
      </c>
      <c r="F23" s="2">
        <f>N(Inputs!E23)</f>
        <v>253500</v>
      </c>
      <c r="G23">
        <f t="shared" si="0"/>
        <v>6</v>
      </c>
      <c r="H23" s="6">
        <f>VLOOKUP(F23,Rates!$A$2:$B$10,2,TRUE)</f>
        <v>7.0000000000000007E-2</v>
      </c>
      <c r="I23" s="6">
        <f>INDEX(Rates!$E$2:$E$10,G23)</f>
        <v>0.01</v>
      </c>
      <c r="J23" s="6">
        <f>IFERROR(VLOOKUP(D23,Rates!$G$2:$H$6,2,FALSE),0)</f>
        <v>0</v>
      </c>
      <c r="K23" s="6">
        <f t="shared" si="1"/>
        <v>0.08</v>
      </c>
      <c r="L23" s="9">
        <f>F23*K23*IFERROR(VLOOKUP(B23,Rates!$J$2:$K$13,2,FALSE),0)*1.07</f>
        <v>21699.600000000002</v>
      </c>
      <c r="M23" s="10">
        <f>IF(Inputs!H23&gt;90,-0.02*L23,0)</f>
        <v>0</v>
      </c>
      <c r="N23" s="9">
        <f t="shared" si="2"/>
        <v>21699.600000000002</v>
      </c>
      <c r="O23" s="9">
        <f t="shared" si="3"/>
        <v>0</v>
      </c>
      <c r="P23" s="9">
        <f t="shared" si="4"/>
        <v>0</v>
      </c>
      <c r="Q23" s="9">
        <f t="shared" si="5"/>
        <v>21699.600000000002</v>
      </c>
      <c r="R23" s="9">
        <f t="shared" si="6"/>
        <v>0</v>
      </c>
      <c r="S23" s="9">
        <f t="shared" si="7"/>
        <v>21699.600000000002</v>
      </c>
    </row>
    <row r="24" spans="1:19" x14ac:dyDescent="0.2">
      <c r="A24" t="str">
        <f>Inputs!A24</f>
        <v>D-26-0023</v>
      </c>
      <c r="B24" t="str">
        <f>Inputs!B24</f>
        <v>Jessica Alvarez</v>
      </c>
      <c r="C24" t="str">
        <f>Inputs!C24</f>
        <v>AMER</v>
      </c>
      <c r="D24" t="str">
        <f>Inputs!D24</f>
        <v>Data Connectors</v>
      </c>
      <c r="E24" s="3">
        <f>Inputs!G24</f>
        <v>46209</v>
      </c>
      <c r="F24" s="2">
        <f>N(Inputs!E24)</f>
        <v>1038000</v>
      </c>
      <c r="G24">
        <f t="shared" si="0"/>
        <v>9</v>
      </c>
      <c r="H24" s="6">
        <f>VLOOKUP(F24,Rates!$A$2:$B$10,2,TRUE)</f>
        <v>0.1</v>
      </c>
      <c r="I24" s="6">
        <f>INDEX(Rates!$E$2:$E$10,G24)</f>
        <v>2.5000000000000001E-2</v>
      </c>
      <c r="J24" s="6">
        <f>IFERROR(VLOOKUP(D24,Rates!$G$2:$H$6,2,FALSE),0)</f>
        <v>0</v>
      </c>
      <c r="K24" s="6">
        <f t="shared" si="1"/>
        <v>0.125</v>
      </c>
      <c r="L24" s="9">
        <f>F24*K24*IFERROR(VLOOKUP(B24,Rates!$J$2:$K$13,2,FALSE),0)</f>
        <v>129750</v>
      </c>
      <c r="M24" s="10">
        <f>IF(Inputs!H24&gt;90,-0.02*L24,0)</f>
        <v>0</v>
      </c>
      <c r="N24" s="9">
        <f t="shared" si="2"/>
        <v>129750</v>
      </c>
      <c r="O24" s="9">
        <f t="shared" si="3"/>
        <v>0</v>
      </c>
      <c r="P24" s="9">
        <f t="shared" si="4"/>
        <v>0</v>
      </c>
      <c r="Q24" s="9">
        <f t="shared" si="5"/>
        <v>129750</v>
      </c>
      <c r="R24" s="9">
        <f t="shared" si="6"/>
        <v>0</v>
      </c>
      <c r="S24" s="9">
        <f t="shared" si="7"/>
        <v>129750</v>
      </c>
    </row>
    <row r="25" spans="1:19" x14ac:dyDescent="0.2">
      <c r="A25" t="str">
        <f>Inputs!A25</f>
        <v>D-26-0024</v>
      </c>
      <c r="B25" t="str">
        <f>Inputs!B25</f>
        <v>Daniel Kim</v>
      </c>
      <c r="C25" t="str">
        <f>Inputs!C25</f>
        <v>AMER</v>
      </c>
      <c r="D25" t="str">
        <f>Inputs!D25</f>
        <v>Analytics Add-on</v>
      </c>
      <c r="E25" s="3">
        <f>Inputs!G25</f>
        <v>46218</v>
      </c>
      <c r="F25" s="2">
        <f>N(Inputs!E25)</f>
        <v>25000</v>
      </c>
      <c r="G25">
        <f t="shared" si="0"/>
        <v>2</v>
      </c>
      <c r="H25" s="6">
        <f>VLOOKUP(F25,Rates!$A$2:$B$10,2,TRUE)</f>
        <v>0.03</v>
      </c>
      <c r="I25" s="6">
        <f>INDEX(Rates!$E$2:$E$10,G25)</f>
        <v>0</v>
      </c>
      <c r="J25" s="6">
        <f>IFERROR(VLOOKUP(D25,Rates!$G$2:$H$6,2,FALSE),0)</f>
        <v>0.01</v>
      </c>
      <c r="K25" s="6">
        <f t="shared" si="1"/>
        <v>0.04</v>
      </c>
      <c r="L25" s="9">
        <f>F25*K25*IFERROR(VLOOKUP(B25,Rates!$J$2:$K$13,2,FALSE),0)</f>
        <v>500</v>
      </c>
      <c r="M25" s="10">
        <f>IF(Inputs!H25&gt;90,-0.02*L25,0)</f>
        <v>-10</v>
      </c>
      <c r="N25" s="9">
        <f t="shared" si="2"/>
        <v>490</v>
      </c>
      <c r="O25" s="9">
        <f t="shared" si="3"/>
        <v>0</v>
      </c>
      <c r="P25" s="9">
        <f t="shared" si="4"/>
        <v>0</v>
      </c>
      <c r="Q25" s="9">
        <f t="shared" si="5"/>
        <v>490</v>
      </c>
      <c r="R25" s="9">
        <f t="shared" si="6"/>
        <v>0</v>
      </c>
      <c r="S25" s="9">
        <f t="shared" si="7"/>
        <v>490</v>
      </c>
    </row>
    <row r="26" spans="1:19" x14ac:dyDescent="0.2">
      <c r="A26" t="str">
        <f>Inputs!A26</f>
        <v>D-26-0025</v>
      </c>
      <c r="B26" t="str">
        <f>Inputs!B26</f>
        <v>Vikram Singh</v>
      </c>
      <c r="C26" t="str">
        <f>Inputs!C26</f>
        <v>India</v>
      </c>
      <c r="D26" t="str">
        <f>Inputs!D26</f>
        <v>Core Platform</v>
      </c>
      <c r="E26" s="3">
        <f>Inputs!G26</f>
        <v>46218</v>
      </c>
      <c r="F26" s="2">
        <f>N(Inputs!E26)</f>
        <v>0</v>
      </c>
      <c r="G26">
        <f t="shared" si="0"/>
        <v>1</v>
      </c>
      <c r="H26" s="6">
        <f>VLOOKUP(F26,Rates!$A$2:$B$10,2,TRUE)</f>
        <v>0.02</v>
      </c>
      <c r="I26" s="6">
        <f>INDEX(Rates!$E$2:$E$10,G26)</f>
        <v>0</v>
      </c>
      <c r="J26" s="6">
        <f>IFERROR(VLOOKUP(D26,Rates!$G$2:$H$6,2,FALSE),0)</f>
        <v>0</v>
      </c>
      <c r="K26" s="6">
        <f t="shared" si="1"/>
        <v>0.02</v>
      </c>
      <c r="L26" s="9">
        <f>F26*K26*IFERROR(VLOOKUP(B26,Rates!$J$2:$K$13,2,FALSE),0)</f>
        <v>0</v>
      </c>
      <c r="M26" s="10">
        <f>IF(Inputs!H26&gt;90,-0.02*L26,0)</f>
        <v>0</v>
      </c>
      <c r="N26" s="9">
        <f t="shared" si="2"/>
        <v>0</v>
      </c>
      <c r="O26" s="9">
        <f t="shared" si="3"/>
        <v>0</v>
      </c>
      <c r="P26" s="9">
        <f t="shared" si="4"/>
        <v>0</v>
      </c>
      <c r="Q26" s="9">
        <f t="shared" si="5"/>
        <v>0</v>
      </c>
      <c r="R26" s="9">
        <f t="shared" si="6"/>
        <v>0</v>
      </c>
      <c r="S26" s="9">
        <f t="shared" si="7"/>
        <v>0</v>
      </c>
    </row>
    <row r="27" spans="1:19" x14ac:dyDescent="0.2">
      <c r="A27" t="str">
        <f>Inputs!A27</f>
        <v>D-26-0026</v>
      </c>
      <c r="B27" t="str">
        <f>Inputs!B27</f>
        <v>Amelie Laurent</v>
      </c>
      <c r="C27" t="str">
        <f>Inputs!C27</f>
        <v>EMEA</v>
      </c>
      <c r="D27" t="str">
        <f>Inputs!D27</f>
        <v>Data Connectors</v>
      </c>
      <c r="E27" s="3">
        <f>Inputs!G27</f>
        <v>46237</v>
      </c>
      <c r="F27" s="2">
        <f>N(Inputs!E27)</f>
        <v>221000</v>
      </c>
      <c r="G27">
        <f t="shared" si="0"/>
        <v>5</v>
      </c>
      <c r="H27" s="6">
        <f>VLOOKUP(F27,Rates!$A$2:$B$10,2,TRUE)</f>
        <v>0.05</v>
      </c>
      <c r="I27" s="6">
        <f>INDEX(Rates!$E$2:$E$10,G27)</f>
        <v>7.4999999999999997E-3</v>
      </c>
      <c r="J27" s="6">
        <f>IFERROR(VLOOKUP(D27,Rates!$G$2:$H$6,2,FALSE),0)</f>
        <v>0</v>
      </c>
      <c r="K27" s="6">
        <f t="shared" si="1"/>
        <v>5.7500000000000002E-2</v>
      </c>
      <c r="L27" s="9">
        <f>F27*K27*IFERROR(VLOOKUP(B27,Rates!$J$2:$K$13,2,FALSE),0)*1.07</f>
        <v>10197.768750000001</v>
      </c>
      <c r="M27" s="10">
        <f>IF(Inputs!H27&gt;90,-0.02*L27,0)</f>
        <v>0</v>
      </c>
      <c r="N27" s="9">
        <f t="shared" si="2"/>
        <v>10197.768750000001</v>
      </c>
      <c r="O27" s="9">
        <f t="shared" si="3"/>
        <v>0</v>
      </c>
      <c r="P27" s="9">
        <f t="shared" si="4"/>
        <v>0</v>
      </c>
      <c r="Q27" s="9">
        <f t="shared" si="5"/>
        <v>10197.768750000001</v>
      </c>
      <c r="R27" s="9">
        <f t="shared" si="6"/>
        <v>0</v>
      </c>
      <c r="S27" s="9">
        <f t="shared" si="7"/>
        <v>10197.768750000001</v>
      </c>
    </row>
    <row r="28" spans="1:19" x14ac:dyDescent="0.2">
      <c r="A28" t="str">
        <f>Inputs!A28</f>
        <v>D-26-0027</v>
      </c>
      <c r="B28" t="str">
        <f>Inputs!B28</f>
        <v>Wei Zhang</v>
      </c>
      <c r="C28" t="str">
        <f>Inputs!C28</f>
        <v>APAC</v>
      </c>
      <c r="D28" t="str">
        <f>Inputs!D28</f>
        <v>Enterprise Suite</v>
      </c>
      <c r="E28" s="3">
        <f>Inputs!G28</f>
        <v>46242</v>
      </c>
      <c r="F28" s="2">
        <f>N(Inputs!E28)</f>
        <v>720000</v>
      </c>
      <c r="G28">
        <f t="shared" si="0"/>
        <v>8</v>
      </c>
      <c r="H28" s="6">
        <f>VLOOKUP(F28,Rates!$A$2:$B$10,2,TRUE)</f>
        <v>8.5000000000000006E-2</v>
      </c>
      <c r="I28" s="6">
        <f>INDEX(Rates!$E$2:$E$10,G28)</f>
        <v>0.02</v>
      </c>
      <c r="J28" s="6">
        <f>IFERROR(VLOOKUP(D28,Rates!$G$2:$H$6,2,FALSE),0)</f>
        <v>0.04</v>
      </c>
      <c r="K28" s="6">
        <f t="shared" si="1"/>
        <v>0.14500000000000002</v>
      </c>
      <c r="L28" s="9">
        <f>F28*K28*IFERROR(VLOOKUP(B28,Rates!$J$2:$K$13,2,FALSE),0)</f>
        <v>104400.00000000001</v>
      </c>
      <c r="M28" s="10">
        <f>IF(Inputs!H28&gt;90,-0.02*L28,0)</f>
        <v>0</v>
      </c>
      <c r="N28" s="9">
        <f t="shared" si="2"/>
        <v>104400.00000000001</v>
      </c>
      <c r="O28" s="9">
        <f t="shared" si="3"/>
        <v>0</v>
      </c>
      <c r="P28" s="9">
        <f t="shared" si="4"/>
        <v>0</v>
      </c>
      <c r="Q28" s="9">
        <f t="shared" si="5"/>
        <v>104400.00000000001</v>
      </c>
      <c r="R28" s="9">
        <f t="shared" si="6"/>
        <v>0</v>
      </c>
      <c r="S28" s="9">
        <f t="shared" si="7"/>
        <v>104400.00000000001</v>
      </c>
    </row>
    <row r="29" spans="1:19" x14ac:dyDescent="0.2">
      <c r="A29" t="str">
        <f>Inputs!A29</f>
        <v>D-26-0028</v>
      </c>
      <c r="B29" t="str">
        <f>Inputs!B29</f>
        <v>Jessica Alvarez</v>
      </c>
      <c r="C29" t="str">
        <f>Inputs!C29</f>
        <v>AMER</v>
      </c>
      <c r="D29" t="str">
        <f>Inputs!D29</f>
        <v>Support Plus</v>
      </c>
      <c r="E29" s="3">
        <f>Inputs!G29</f>
        <v>46246</v>
      </c>
      <c r="F29" s="2">
        <f>N(Inputs!E29)</f>
        <v>92000</v>
      </c>
      <c r="G29">
        <f t="shared" si="0"/>
        <v>3</v>
      </c>
      <c r="H29" s="6">
        <f>VLOOKUP(F29,Rates!$A$2:$B$10,2,TRUE)</f>
        <v>0.04</v>
      </c>
      <c r="I29" s="6">
        <f>INDEX(Rates!$E$2:$E$10,G29)</f>
        <v>2.5000000000000001E-3</v>
      </c>
      <c r="J29" s="6">
        <f>IFERROR(VLOOKUP(D29,Rates!$G$2:$H$6,2,FALSE),0)</f>
        <v>0</v>
      </c>
      <c r="K29" s="6">
        <f t="shared" si="1"/>
        <v>4.2500000000000003E-2</v>
      </c>
      <c r="L29" s="9">
        <f>F29*K29*IFERROR(VLOOKUP(B29,Rates!$J$2:$K$13,2,FALSE),0)</f>
        <v>3910.0000000000005</v>
      </c>
      <c r="M29" s="10">
        <f>IF(Inputs!H29&gt;90,-0.02*L29,0)</f>
        <v>0</v>
      </c>
      <c r="N29" s="9">
        <f t="shared" si="2"/>
        <v>3910.0000000000005</v>
      </c>
      <c r="O29" s="9">
        <f t="shared" si="3"/>
        <v>0</v>
      </c>
      <c r="P29" s="9">
        <f t="shared" si="4"/>
        <v>0</v>
      </c>
      <c r="Q29" s="9">
        <f t="shared" si="5"/>
        <v>3910.0000000000005</v>
      </c>
      <c r="R29" s="9">
        <f t="shared" si="6"/>
        <v>0</v>
      </c>
      <c r="S29" s="9">
        <f t="shared" si="7"/>
        <v>3910.0000000000005</v>
      </c>
    </row>
    <row r="30" spans="1:19" x14ac:dyDescent="0.2">
      <c r="A30" t="str">
        <f>Inputs!A30</f>
        <v>D-26-0029</v>
      </c>
      <c r="B30" t="str">
        <f>Inputs!B30</f>
        <v>Daniel Kim</v>
      </c>
      <c r="C30" t="str">
        <f>Inputs!C30</f>
        <v>AMER</v>
      </c>
      <c r="D30" t="str">
        <f>Inputs!D30</f>
        <v>Support Plus</v>
      </c>
      <c r="E30" s="3">
        <f>Inputs!G30</f>
        <v>46250</v>
      </c>
      <c r="F30" s="2">
        <f>N(Inputs!E30)</f>
        <v>32500</v>
      </c>
      <c r="G30">
        <f t="shared" si="0"/>
        <v>2</v>
      </c>
      <c r="H30" s="6">
        <f>VLOOKUP(F30,Rates!$A$2:$B$10,2,TRUE)</f>
        <v>0.03</v>
      </c>
      <c r="I30" s="6">
        <f>INDEX(Rates!$E$2:$E$10,G30)</f>
        <v>0</v>
      </c>
      <c r="J30" s="6">
        <f>IFERROR(VLOOKUP(D30,Rates!$G$2:$H$6,2,FALSE),0)</f>
        <v>0</v>
      </c>
      <c r="K30" s="6">
        <f t="shared" si="1"/>
        <v>0.03</v>
      </c>
      <c r="L30" s="9">
        <f>F30*K30*IFERROR(VLOOKUP(B30,Rates!$J$2:$K$13,2,FALSE),0)</f>
        <v>487.5</v>
      </c>
      <c r="M30" s="10">
        <f>IF(Inputs!H30&gt;90,-0.02*L30,0)</f>
        <v>0</v>
      </c>
      <c r="N30" s="9">
        <f t="shared" si="2"/>
        <v>487.5</v>
      </c>
      <c r="O30" s="9">
        <f t="shared" si="3"/>
        <v>0</v>
      </c>
      <c r="P30" s="9">
        <f t="shared" si="4"/>
        <v>0</v>
      </c>
      <c r="Q30" s="9">
        <f t="shared" si="5"/>
        <v>487.5</v>
      </c>
      <c r="R30" s="9">
        <f t="shared" si="6"/>
        <v>0</v>
      </c>
      <c r="S30" s="9">
        <f t="shared" si="7"/>
        <v>487.5</v>
      </c>
    </row>
    <row r="31" spans="1:19" x14ac:dyDescent="0.2">
      <c r="A31" t="str">
        <f>Inputs!A31</f>
        <v>D-26-0030</v>
      </c>
      <c r="B31" t="str">
        <f>Inputs!B31</f>
        <v>Sarah O'Connor</v>
      </c>
      <c r="C31" t="str">
        <f>Inputs!C31</f>
        <v>EMEA</v>
      </c>
      <c r="D31" t="str">
        <f>Inputs!D31</f>
        <v>Enterprise Suite</v>
      </c>
      <c r="E31" s="3">
        <f>Inputs!G31</f>
        <v>46259</v>
      </c>
      <c r="F31" s="2">
        <f>N(Inputs!E31)</f>
        <v>385500</v>
      </c>
      <c r="G31">
        <f t="shared" si="0"/>
        <v>6</v>
      </c>
      <c r="H31" s="6">
        <f>VLOOKUP(F31,Rates!$A$2:$B$10,2,TRUE)</f>
        <v>7.0000000000000007E-2</v>
      </c>
      <c r="I31" s="6">
        <f>INDEX(Rates!$E$2:$E$10,G31)</f>
        <v>0.01</v>
      </c>
      <c r="J31" s="6">
        <f>IFERROR(VLOOKUP(D31,Rates!$G$2:$H$6,2,FALSE),0)</f>
        <v>0.04</v>
      </c>
      <c r="K31" s="6">
        <f t="shared" si="1"/>
        <v>0.12</v>
      </c>
      <c r="L31" s="9">
        <f>F31*K31*IFERROR(VLOOKUP(B31,Rates!$J$2:$K$13,2,FALSE),0)*1.07</f>
        <v>49498.200000000004</v>
      </c>
      <c r="M31" s="10">
        <f>IF(Inputs!H31&gt;90,-0.02*L31,0)</f>
        <v>0</v>
      </c>
      <c r="N31" s="9">
        <f t="shared" si="2"/>
        <v>49498.200000000004</v>
      </c>
      <c r="O31" s="9">
        <f t="shared" si="3"/>
        <v>0</v>
      </c>
      <c r="P31" s="9">
        <f t="shared" si="4"/>
        <v>0</v>
      </c>
      <c r="Q31" s="9">
        <f t="shared" si="5"/>
        <v>49498.200000000004</v>
      </c>
      <c r="R31" s="9">
        <f t="shared" si="6"/>
        <v>0</v>
      </c>
      <c r="S31" s="9">
        <f t="shared" si="7"/>
        <v>49498.200000000004</v>
      </c>
    </row>
    <row r="32" spans="1:19" x14ac:dyDescent="0.2">
      <c r="A32" t="str">
        <f>Inputs!A32</f>
        <v>D-26-0031</v>
      </c>
      <c r="B32" t="str">
        <f>Inputs!B32</f>
        <v>Wei Zhang</v>
      </c>
      <c r="C32" t="str">
        <f>Inputs!C32</f>
        <v>APAC</v>
      </c>
      <c r="D32" t="str">
        <f>Inputs!D32</f>
        <v>Support Plus</v>
      </c>
      <c r="E32" s="3">
        <f>Inputs!G32</f>
        <v>46261</v>
      </c>
      <c r="F32" s="2">
        <f>N(Inputs!E32)</f>
        <v>35000</v>
      </c>
      <c r="G32">
        <f t="shared" si="0"/>
        <v>2</v>
      </c>
      <c r="H32" s="6">
        <f>VLOOKUP(F32,Rates!$A$2:$B$10,2,TRUE)</f>
        <v>0.03</v>
      </c>
      <c r="I32" s="6">
        <f>INDEX(Rates!$E$2:$E$10,G32)</f>
        <v>0</v>
      </c>
      <c r="J32" s="6">
        <f>IFERROR(VLOOKUP(D32,Rates!$G$2:$H$6,2,FALSE),0)</f>
        <v>0</v>
      </c>
      <c r="K32" s="6">
        <f t="shared" si="1"/>
        <v>0.03</v>
      </c>
      <c r="L32" s="9">
        <f>F32*K32*IFERROR(VLOOKUP(B32,Rates!$J$2:$K$13,2,FALSE),0)</f>
        <v>1050</v>
      </c>
      <c r="M32" s="10">
        <f>IF(Inputs!H32&gt;90,-0.02*L32,0)</f>
        <v>0</v>
      </c>
      <c r="N32" s="9">
        <f t="shared" si="2"/>
        <v>1050</v>
      </c>
      <c r="O32" s="9">
        <f t="shared" si="3"/>
        <v>0</v>
      </c>
      <c r="P32" s="9">
        <f t="shared" si="4"/>
        <v>0</v>
      </c>
      <c r="Q32" s="9">
        <f t="shared" si="5"/>
        <v>1050</v>
      </c>
      <c r="R32" s="9">
        <f t="shared" si="6"/>
        <v>0</v>
      </c>
      <c r="S32" s="9">
        <f t="shared" si="7"/>
        <v>1050</v>
      </c>
    </row>
    <row r="33" spans="1:19" x14ac:dyDescent="0.2">
      <c r="A33" t="str">
        <f>Inputs!A33</f>
        <v>D-26-0032</v>
      </c>
      <c r="B33" t="str">
        <f>Inputs!B33</f>
        <v>Hiroshi Tanaka</v>
      </c>
      <c r="C33" t="str">
        <f>Inputs!C33</f>
        <v>APAC</v>
      </c>
      <c r="D33" t="str">
        <f>Inputs!D33</f>
        <v>Enterprise Suite</v>
      </c>
      <c r="E33" s="3">
        <f>Inputs!G33</f>
        <v>46269</v>
      </c>
      <c r="F33" s="2">
        <f>N(Inputs!E33)</f>
        <v>51000</v>
      </c>
      <c r="G33">
        <f t="shared" si="0"/>
        <v>3</v>
      </c>
      <c r="H33" s="6">
        <f>VLOOKUP(F33,Rates!$A$2:$B$10,2,TRUE)</f>
        <v>0.04</v>
      </c>
      <c r="I33" s="6">
        <f>INDEX(Rates!$E$2:$E$10,G33)</f>
        <v>2.5000000000000001E-3</v>
      </c>
      <c r="J33" s="6">
        <f>IFERROR(VLOOKUP(D33,Rates!$G$2:$H$6,2,FALSE),0)</f>
        <v>0.04</v>
      </c>
      <c r="K33" s="6">
        <f t="shared" si="1"/>
        <v>8.2500000000000004E-2</v>
      </c>
      <c r="L33" s="9">
        <f>F33*K33*IFERROR(VLOOKUP(B33,Rates!$J$2:$K$13,2,FALSE),0)</f>
        <v>4207.5</v>
      </c>
      <c r="M33" s="10">
        <f>IF(Inputs!H33&gt;90,-0.02*L33,0)</f>
        <v>0</v>
      </c>
      <c r="N33" s="9">
        <f t="shared" si="2"/>
        <v>4207.5</v>
      </c>
      <c r="O33" s="9">
        <f t="shared" si="3"/>
        <v>0</v>
      </c>
      <c r="P33" s="9">
        <f t="shared" si="4"/>
        <v>0</v>
      </c>
      <c r="Q33" s="9">
        <f t="shared" si="5"/>
        <v>4207.5</v>
      </c>
      <c r="R33" s="9">
        <f t="shared" si="6"/>
        <v>0</v>
      </c>
      <c r="S33" s="9">
        <f t="shared" si="7"/>
        <v>4207.5</v>
      </c>
    </row>
    <row r="34" spans="1:19" x14ac:dyDescent="0.2">
      <c r="A34" t="str">
        <f>Inputs!A34</f>
        <v>D-26-0033</v>
      </c>
      <c r="B34" t="str">
        <f>Inputs!B34</f>
        <v>Amelie Laurent</v>
      </c>
      <c r="C34" t="str">
        <f>Inputs!C34</f>
        <v>EMEA</v>
      </c>
      <c r="D34" t="str">
        <f>Inputs!D34</f>
        <v>Core Platform</v>
      </c>
      <c r="E34" s="3">
        <f>Inputs!G34</f>
        <v>46275</v>
      </c>
      <c r="F34" s="2">
        <f>N(Inputs!E34)</f>
        <v>149000</v>
      </c>
      <c r="G34">
        <f t="shared" ref="G34:G65" si="8">IF(F34&gt;=1000000,9,IF(F34&gt;=600000,8,IF(F34&gt;=400000,7,IF(AND(C34="EMEA",F34&gt;=250000),6,IF(F34&gt;250000,6,IF(F34&gt;=150000,5,IF(F34&gt;=100000,4,IF(F34&gt;=50000,3,IF(F34&gt;=25000,2,1)))))))))</f>
        <v>4</v>
      </c>
      <c r="H34" s="6">
        <f>VLOOKUP(F34,Rates!$A$2:$B$10,2,TRUE)</f>
        <v>0.05</v>
      </c>
      <c r="I34" s="6">
        <f>INDEX(Rates!$E$2:$E$10,G34)</f>
        <v>5.0000000000000001E-3</v>
      </c>
      <c r="J34" s="6">
        <f>IFERROR(VLOOKUP(D34,Rates!$G$2:$H$6,2,FALSE),0)</f>
        <v>0</v>
      </c>
      <c r="K34" s="6">
        <f t="shared" ref="K34:K65" si="9">MIN(H34+I34+J34,0.18)</f>
        <v>5.5E-2</v>
      </c>
      <c r="L34" s="9">
        <f>F34*K34*IFERROR(VLOOKUP(B34,Rates!$J$2:$K$13,2,FALSE),0)*1.07</f>
        <v>6576.4875000000002</v>
      </c>
      <c r="M34" s="10">
        <f>IF(Inputs!H34&gt;90,-0.02*L34,0)</f>
        <v>0</v>
      </c>
      <c r="N34" s="9">
        <f t="shared" ref="N34:N65" si="10">L34+M34</f>
        <v>6576.4875000000002</v>
      </c>
      <c r="O34" s="9">
        <f t="shared" ref="O34:O61" si="11">IF(ROUNDUP(MONTH($E34)/3,0)=1,$N34,0)</f>
        <v>0</v>
      </c>
      <c r="P34" s="9">
        <f t="shared" ref="P34:P61" si="12">IF(ROUNDUP(MONTH($E34)/3,0)=2,$N34,0)</f>
        <v>0</v>
      </c>
      <c r="Q34" s="9">
        <f t="shared" ref="Q34:Q61" si="13">IF(ROUNDUP(MONTH($E34)/3,0)=3,$N34,0)</f>
        <v>6576.4875000000002</v>
      </c>
      <c r="R34" s="9">
        <f t="shared" ref="R34:R61" si="14">IF(ROUNDUP(MONTH($E34)/3,0)=4,$N34,0)</f>
        <v>0</v>
      </c>
      <c r="S34" s="9">
        <f t="shared" ref="S34:S61" si="15">N34</f>
        <v>6576.4875000000002</v>
      </c>
    </row>
    <row r="35" spans="1:19" x14ac:dyDescent="0.2">
      <c r="A35" t="str">
        <f>Inputs!A35</f>
        <v>D-26-0034</v>
      </c>
      <c r="B35" t="str">
        <f>Inputs!B35</f>
        <v>Vikram Singh</v>
      </c>
      <c r="C35" t="str">
        <f>Inputs!C35</f>
        <v>India</v>
      </c>
      <c r="D35" t="str">
        <f>Inputs!D35</f>
        <v>Core Platform</v>
      </c>
      <c r="E35" s="3">
        <f>Inputs!G35</f>
        <v>46275</v>
      </c>
      <c r="F35" s="2">
        <f>N(Inputs!E35)</f>
        <v>123000</v>
      </c>
      <c r="G35">
        <f t="shared" si="8"/>
        <v>4</v>
      </c>
      <c r="H35" s="6">
        <f>VLOOKUP(F35,Rates!$A$2:$B$10,2,TRUE)</f>
        <v>0.05</v>
      </c>
      <c r="I35" s="6">
        <f>INDEX(Rates!$E$2:$E$10,G35)</f>
        <v>5.0000000000000001E-3</v>
      </c>
      <c r="J35" s="6">
        <f>IFERROR(VLOOKUP(D35,Rates!$G$2:$H$6,2,FALSE),0)</f>
        <v>0</v>
      </c>
      <c r="K35" s="6">
        <f t="shared" si="9"/>
        <v>5.5E-2</v>
      </c>
      <c r="L35" s="9">
        <f>F35*K35*IFERROR(VLOOKUP(B35,Rates!$J$2:$K$13,2,FALSE),0)</f>
        <v>6765</v>
      </c>
      <c r="M35" s="10">
        <f>IF(Inputs!H35&gt;90,-0.02*L35,0)</f>
        <v>0</v>
      </c>
      <c r="N35" s="9">
        <f t="shared" si="10"/>
        <v>6765</v>
      </c>
      <c r="O35" s="9">
        <f t="shared" si="11"/>
        <v>0</v>
      </c>
      <c r="P35" s="9">
        <f t="shared" si="12"/>
        <v>0</v>
      </c>
      <c r="Q35" s="9">
        <f t="shared" si="13"/>
        <v>6765</v>
      </c>
      <c r="R35" s="9">
        <f t="shared" si="14"/>
        <v>0</v>
      </c>
      <c r="S35" s="9">
        <f t="shared" si="15"/>
        <v>6765</v>
      </c>
    </row>
    <row r="36" spans="1:19" x14ac:dyDescent="0.2">
      <c r="A36" t="str">
        <f>Inputs!A36</f>
        <v>D-26-0035</v>
      </c>
      <c r="B36" t="str">
        <f>Inputs!B36</f>
        <v>Jessica Alvarez</v>
      </c>
      <c r="C36" t="str">
        <f>Inputs!C36</f>
        <v>AMER</v>
      </c>
      <c r="D36" t="str">
        <f>Inputs!D36</f>
        <v>Enterprise Suite</v>
      </c>
      <c r="E36" s="3">
        <f>Inputs!G36</f>
        <v>46282</v>
      </c>
      <c r="F36" s="2">
        <f>N(Inputs!E36)</f>
        <v>1050000</v>
      </c>
      <c r="G36">
        <f t="shared" si="8"/>
        <v>9</v>
      </c>
      <c r="H36" s="6">
        <f>VLOOKUP(F36,Rates!$A$2:$B$10,2,TRUE)</f>
        <v>0.1</v>
      </c>
      <c r="I36" s="6">
        <f>INDEX(Rates!$E$2:$E$10,G36)</f>
        <v>2.5000000000000001E-2</v>
      </c>
      <c r="J36" s="6">
        <f>IFERROR(VLOOKUP(D36,Rates!$G$2:$H$6,2,FALSE),0)</f>
        <v>0.04</v>
      </c>
      <c r="K36" s="6">
        <f t="shared" si="9"/>
        <v>0.16500000000000001</v>
      </c>
      <c r="L36" s="9">
        <f>F36*K36*IFERROR(VLOOKUP(B36,Rates!$J$2:$K$13,2,FALSE),0)</f>
        <v>173250</v>
      </c>
      <c r="M36" s="10">
        <f>IF(Inputs!H36&gt;90,-0.02*L36,0)</f>
        <v>0</v>
      </c>
      <c r="N36" s="9">
        <f t="shared" si="10"/>
        <v>173250</v>
      </c>
      <c r="O36" s="9">
        <f t="shared" si="11"/>
        <v>0</v>
      </c>
      <c r="P36" s="9">
        <f t="shared" si="12"/>
        <v>0</v>
      </c>
      <c r="Q36" s="9">
        <f t="shared" si="13"/>
        <v>173250</v>
      </c>
      <c r="R36" s="9">
        <f t="shared" si="14"/>
        <v>0</v>
      </c>
      <c r="S36" s="9">
        <f t="shared" si="15"/>
        <v>173250</v>
      </c>
    </row>
    <row r="37" spans="1:19" x14ac:dyDescent="0.2">
      <c r="A37" t="str">
        <f>Inputs!A37</f>
        <v>D-26-0036</v>
      </c>
      <c r="B37" t="str">
        <f>Inputs!B37</f>
        <v>Priya Raman</v>
      </c>
      <c r="C37" t="str">
        <f>Inputs!C37</f>
        <v>APAC</v>
      </c>
      <c r="D37" t="str">
        <f>Inputs!D37</f>
        <v>Support Plus</v>
      </c>
      <c r="E37" s="3">
        <f>Inputs!G37</f>
        <v>46289</v>
      </c>
      <c r="F37" s="2">
        <f>N(Inputs!E37)</f>
        <v>232000</v>
      </c>
      <c r="G37">
        <f t="shared" si="8"/>
        <v>5</v>
      </c>
      <c r="H37" s="6">
        <f>VLOOKUP(F37,Rates!$A$2:$B$10,2,TRUE)</f>
        <v>0.05</v>
      </c>
      <c r="I37" s="6">
        <f>INDEX(Rates!$E$2:$E$10,G37)</f>
        <v>7.4999999999999997E-3</v>
      </c>
      <c r="J37" s="6">
        <f>IFERROR(VLOOKUP(D37,Rates!$G$2:$H$6,2,FALSE),0)</f>
        <v>0</v>
      </c>
      <c r="K37" s="6">
        <f t="shared" si="9"/>
        <v>5.7500000000000002E-2</v>
      </c>
      <c r="L37" s="9">
        <f>F37*K37*IFERROR(VLOOKUP(B37,Rates!$J$2:$K$13,2,FALSE),0)</f>
        <v>13340</v>
      </c>
      <c r="M37" s="10">
        <f>IF(Inputs!H37&gt;90,-0.02*L37,0)</f>
        <v>0</v>
      </c>
      <c r="N37" s="9">
        <f t="shared" si="10"/>
        <v>13340</v>
      </c>
      <c r="O37" s="9">
        <f t="shared" si="11"/>
        <v>0</v>
      </c>
      <c r="P37" s="9">
        <f t="shared" si="12"/>
        <v>0</v>
      </c>
      <c r="Q37" s="9">
        <f t="shared" si="13"/>
        <v>13340</v>
      </c>
      <c r="R37" s="9">
        <f t="shared" si="14"/>
        <v>0</v>
      </c>
      <c r="S37" s="9">
        <f t="shared" si="15"/>
        <v>13340</v>
      </c>
    </row>
    <row r="38" spans="1:19" x14ac:dyDescent="0.2">
      <c r="A38" t="str">
        <f>Inputs!A38</f>
        <v>D-26-0037</v>
      </c>
      <c r="B38" t="str">
        <f>Inputs!B38</f>
        <v>Lukas Becker</v>
      </c>
      <c r="C38" t="str">
        <f>Inputs!C38</f>
        <v>EMEA</v>
      </c>
      <c r="D38" t="str">
        <f>Inputs!D38</f>
        <v>Data Connectors</v>
      </c>
      <c r="E38" s="3">
        <f>Inputs!G38</f>
        <v>46291</v>
      </c>
      <c r="F38" s="2">
        <f>N(Inputs!E38)</f>
        <v>250000</v>
      </c>
      <c r="G38">
        <f t="shared" si="8"/>
        <v>6</v>
      </c>
      <c r="H38" s="6">
        <f>VLOOKUP(F38,Rates!$A$2:$B$10,2,TRUE)</f>
        <v>7.0000000000000007E-2</v>
      </c>
      <c r="I38" s="6">
        <f>INDEX(Rates!$E$2:$E$10,G38)</f>
        <v>0.01</v>
      </c>
      <c r="J38" s="6">
        <f>IFERROR(VLOOKUP(D38,Rates!$G$2:$H$6,2,FALSE),0)</f>
        <v>0</v>
      </c>
      <c r="K38" s="6">
        <f t="shared" si="9"/>
        <v>0.08</v>
      </c>
      <c r="L38" s="9">
        <f>F38*K38*IFERROR(VLOOKUP(B38,Rates!$J$2:$K$13,2,FALSE),0)*1.07</f>
        <v>21400</v>
      </c>
      <c r="M38" s="10">
        <f>IF(Inputs!H38&gt;90,-0.02*L38,0)</f>
        <v>0</v>
      </c>
      <c r="N38" s="9">
        <f t="shared" si="10"/>
        <v>21400</v>
      </c>
      <c r="O38" s="9">
        <f t="shared" si="11"/>
        <v>0</v>
      </c>
      <c r="P38" s="9">
        <f t="shared" si="12"/>
        <v>0</v>
      </c>
      <c r="Q38" s="9">
        <f t="shared" si="13"/>
        <v>21400</v>
      </c>
      <c r="R38" s="9">
        <f t="shared" si="14"/>
        <v>0</v>
      </c>
      <c r="S38" s="9">
        <f t="shared" si="15"/>
        <v>21400</v>
      </c>
    </row>
    <row r="39" spans="1:19" x14ac:dyDescent="0.2">
      <c r="A39" t="str">
        <f>Inputs!A39</f>
        <v>D-26-0038</v>
      </c>
      <c r="B39" t="str">
        <f>Inputs!B39</f>
        <v>Amelie Laurent</v>
      </c>
      <c r="C39" t="str">
        <f>Inputs!C39</f>
        <v>EMEA</v>
      </c>
      <c r="D39" t="str">
        <f>Inputs!D39</f>
        <v>Core Platform</v>
      </c>
      <c r="E39" s="3">
        <f>Inputs!G39</f>
        <v>46293</v>
      </c>
      <c r="F39" s="2">
        <f>N(Inputs!E39)</f>
        <v>177000</v>
      </c>
      <c r="G39">
        <f t="shared" si="8"/>
        <v>5</v>
      </c>
      <c r="H39" s="6">
        <f>VLOOKUP(F39,Rates!$A$2:$B$10,2,TRUE)</f>
        <v>0.05</v>
      </c>
      <c r="I39" s="6">
        <f>INDEX(Rates!$E$2:$E$10,G39)</f>
        <v>7.4999999999999997E-3</v>
      </c>
      <c r="J39" s="6">
        <f>IFERROR(VLOOKUP(D39,Rates!$G$2:$H$6,2,FALSE),0)</f>
        <v>0</v>
      </c>
      <c r="K39" s="6">
        <f t="shared" si="9"/>
        <v>5.7500000000000002E-2</v>
      </c>
      <c r="L39" s="9">
        <f>F39*K39*IFERROR(VLOOKUP(B39,Rates!$J$2:$K$13,2,FALSE),0)*1.07</f>
        <v>8167.4437500000004</v>
      </c>
      <c r="M39" s="10">
        <f>IF(Inputs!H39&gt;90,-0.02*L39,0)</f>
        <v>0</v>
      </c>
      <c r="N39" s="9">
        <f t="shared" si="10"/>
        <v>8167.4437500000004</v>
      </c>
      <c r="O39" s="9">
        <f t="shared" si="11"/>
        <v>0</v>
      </c>
      <c r="P39" s="9">
        <f t="shared" si="12"/>
        <v>0</v>
      </c>
      <c r="Q39" s="9">
        <f t="shared" si="13"/>
        <v>8167.4437500000004</v>
      </c>
      <c r="R39" s="9">
        <f t="shared" si="14"/>
        <v>0</v>
      </c>
      <c r="S39" s="9">
        <f t="shared" si="15"/>
        <v>8167.4437500000004</v>
      </c>
    </row>
    <row r="40" spans="1:19" x14ac:dyDescent="0.2">
      <c r="A40" t="str">
        <f>Inputs!A40</f>
        <v>D-26-0039</v>
      </c>
      <c r="B40" t="str">
        <f>Inputs!B40</f>
        <v>Michael Brooks</v>
      </c>
      <c r="C40" t="str">
        <f>Inputs!C40</f>
        <v>AMER</v>
      </c>
      <c r="D40" t="str">
        <f>Inputs!D40</f>
        <v>Core Platform</v>
      </c>
      <c r="E40" s="3">
        <f>Inputs!G40</f>
        <v>46297</v>
      </c>
      <c r="F40" s="2">
        <f>N(Inputs!E40)</f>
        <v>525000</v>
      </c>
      <c r="G40">
        <f t="shared" si="8"/>
        <v>7</v>
      </c>
      <c r="H40" s="6">
        <f>VLOOKUP(F40,Rates!$A$2:$B$10,2,TRUE)</f>
        <v>8.5000000000000006E-2</v>
      </c>
      <c r="I40" s="6">
        <f>INDEX(Rates!$E$2:$E$10,G40)</f>
        <v>1.4999999999999999E-2</v>
      </c>
      <c r="J40" s="6">
        <f>IFERROR(VLOOKUP(D40,Rates!$G$2:$H$6,2,FALSE),0)</f>
        <v>0</v>
      </c>
      <c r="K40" s="6">
        <f t="shared" si="9"/>
        <v>0.1</v>
      </c>
      <c r="L40" s="9">
        <f>F40*K40*IFERROR(VLOOKUP(B40,Rates!$J$2:$K$13,2,FALSE),0)</f>
        <v>52500</v>
      </c>
      <c r="M40" s="10">
        <f>IF(Inputs!H40&gt;90,-0.02*L40,0)</f>
        <v>0</v>
      </c>
      <c r="N40" s="9">
        <f t="shared" si="10"/>
        <v>52500</v>
      </c>
      <c r="O40" s="9">
        <f t="shared" si="11"/>
        <v>0</v>
      </c>
      <c r="P40" s="9">
        <f t="shared" si="12"/>
        <v>0</v>
      </c>
      <c r="Q40" s="9">
        <f t="shared" si="13"/>
        <v>0</v>
      </c>
      <c r="R40" s="9">
        <f t="shared" si="14"/>
        <v>52500</v>
      </c>
      <c r="S40" s="9">
        <v>60374.999999999993</v>
      </c>
    </row>
    <row r="41" spans="1:19" x14ac:dyDescent="0.2">
      <c r="A41" t="str">
        <f>Inputs!A41</f>
        <v>D-26-0040</v>
      </c>
      <c r="B41" t="str">
        <f>Inputs!B41</f>
        <v>Lukas Becker</v>
      </c>
      <c r="C41" t="str">
        <f>Inputs!C41</f>
        <v>EMEA</v>
      </c>
      <c r="D41" t="str">
        <f>Inputs!D41</f>
        <v>Support Plus</v>
      </c>
      <c r="E41" s="3">
        <f>Inputs!G41</f>
        <v>46299</v>
      </c>
      <c r="F41" s="2">
        <f>N(Inputs!E41)</f>
        <v>37000</v>
      </c>
      <c r="G41">
        <f t="shared" si="8"/>
        <v>2</v>
      </c>
      <c r="H41" s="6">
        <f>VLOOKUP(F41,Rates!$A$2:$B$10,2,TRUE)</f>
        <v>0.03</v>
      </c>
      <c r="I41" s="6">
        <f>INDEX(Rates!$E$2:$E$10,G41)</f>
        <v>0</v>
      </c>
      <c r="J41" s="6">
        <f>IFERROR(VLOOKUP(D41,Rates!$G$2:$H$6,2,FALSE),0)</f>
        <v>0</v>
      </c>
      <c r="K41" s="6">
        <f t="shared" si="9"/>
        <v>0.03</v>
      </c>
      <c r="L41" s="9">
        <f>F41*K41*IFERROR(VLOOKUP(B41,Rates!$J$2:$K$13,2,FALSE),0)*1.07</f>
        <v>1187.7</v>
      </c>
      <c r="M41" s="10">
        <f>IF(Inputs!H41&gt;90,-0.02*L41,0)</f>
        <v>0</v>
      </c>
      <c r="N41" s="9">
        <f t="shared" si="10"/>
        <v>1187.7</v>
      </c>
      <c r="O41" s="9">
        <f t="shared" si="11"/>
        <v>0</v>
      </c>
      <c r="P41" s="9">
        <f t="shared" si="12"/>
        <v>0</v>
      </c>
      <c r="Q41" s="9">
        <f t="shared" si="13"/>
        <v>0</v>
      </c>
      <c r="R41" s="9">
        <f t="shared" si="14"/>
        <v>1187.7</v>
      </c>
      <c r="S41" s="9">
        <v>1365.855</v>
      </c>
    </row>
    <row r="42" spans="1:19" x14ac:dyDescent="0.2">
      <c r="A42" t="str">
        <f>Inputs!A42</f>
        <v>D-26-0041</v>
      </c>
      <c r="B42" t="str">
        <f>Inputs!B42</f>
        <v>Amelie Laurent</v>
      </c>
      <c r="C42" t="str">
        <f>Inputs!C42</f>
        <v>EMEA</v>
      </c>
      <c r="D42" t="str">
        <f>Inputs!D42</f>
        <v>Core Platform</v>
      </c>
      <c r="E42" s="3">
        <f>Inputs!G42</f>
        <v>46305</v>
      </c>
      <c r="F42" s="2">
        <f>N(Inputs!E42)</f>
        <v>463000</v>
      </c>
      <c r="G42">
        <f t="shared" si="8"/>
        <v>7</v>
      </c>
      <c r="H42" s="6">
        <f>VLOOKUP(F42,Rates!$A$2:$B$10,2,TRUE)</f>
        <v>8.5000000000000006E-2</v>
      </c>
      <c r="I42" s="6">
        <f>INDEX(Rates!$E$2:$E$10,G42)</f>
        <v>1.4999999999999999E-2</v>
      </c>
      <c r="J42" s="6">
        <f>IFERROR(VLOOKUP(D42,Rates!$G$2:$H$6,2,FALSE),0)</f>
        <v>0</v>
      </c>
      <c r="K42" s="6">
        <f t="shared" si="9"/>
        <v>0.1</v>
      </c>
      <c r="L42" s="9">
        <f>F42*K42*IFERROR(VLOOKUP(B42,Rates!$J$2:$K$13,2,FALSE),0)*1.07</f>
        <v>37155.75</v>
      </c>
      <c r="M42" s="10">
        <f>IF(Inputs!H42&gt;90,-0.02*L42,0)</f>
        <v>-743.11500000000001</v>
      </c>
      <c r="N42" s="9">
        <f t="shared" si="10"/>
        <v>36412.635000000002</v>
      </c>
      <c r="O42" s="9">
        <f t="shared" si="11"/>
        <v>0</v>
      </c>
      <c r="P42" s="9">
        <f t="shared" si="12"/>
        <v>0</v>
      </c>
      <c r="Q42" s="9">
        <f t="shared" si="13"/>
        <v>0</v>
      </c>
      <c r="R42" s="9">
        <f t="shared" si="14"/>
        <v>36412.635000000002</v>
      </c>
      <c r="S42" s="9">
        <v>41874.530249999996</v>
      </c>
    </row>
    <row r="43" spans="1:19" x14ac:dyDescent="0.2">
      <c r="A43" t="str">
        <f>Inputs!A43</f>
        <v>D-26-0042</v>
      </c>
      <c r="B43" t="str">
        <f>Inputs!B43</f>
        <v>Priya Raman</v>
      </c>
      <c r="C43" t="str">
        <f>Inputs!C43</f>
        <v>APAC</v>
      </c>
      <c r="D43" t="str">
        <f>Inputs!D43</f>
        <v>Data Connectors</v>
      </c>
      <c r="E43" s="3">
        <f>Inputs!G43</f>
        <v>46305</v>
      </c>
      <c r="F43" s="2">
        <f>N(Inputs!E43)</f>
        <v>297500</v>
      </c>
      <c r="G43">
        <f t="shared" si="8"/>
        <v>6</v>
      </c>
      <c r="H43" s="6">
        <f>VLOOKUP(F43,Rates!$A$2:$B$10,2,TRUE)</f>
        <v>7.0000000000000007E-2</v>
      </c>
      <c r="I43" s="6">
        <f>INDEX(Rates!$E$2:$E$10,G43)</f>
        <v>0.01</v>
      </c>
      <c r="J43" s="6">
        <f>IFERROR(VLOOKUP(D43,Rates!$G$2:$H$6,2,FALSE),0)</f>
        <v>0</v>
      </c>
      <c r="K43" s="6">
        <f t="shared" si="9"/>
        <v>0.08</v>
      </c>
      <c r="L43" s="9">
        <f>F43*K43*IFERROR(VLOOKUP(B43,Rates!$J$2:$K$13,2,FALSE),0)</f>
        <v>23800</v>
      </c>
      <c r="M43" s="10">
        <f>IF(Inputs!H43&gt;90,-0.02*L43,0)</f>
        <v>-476</v>
      </c>
      <c r="N43" s="9">
        <f t="shared" si="10"/>
        <v>23324</v>
      </c>
      <c r="O43" s="9">
        <f t="shared" si="11"/>
        <v>0</v>
      </c>
      <c r="P43" s="9">
        <f t="shared" si="12"/>
        <v>0</v>
      </c>
      <c r="Q43" s="9">
        <f t="shared" si="13"/>
        <v>0</v>
      </c>
      <c r="R43" s="9">
        <f t="shared" si="14"/>
        <v>23324</v>
      </c>
      <c r="S43" s="9">
        <v>26822.6</v>
      </c>
    </row>
    <row r="44" spans="1:19" x14ac:dyDescent="0.2">
      <c r="A44" t="str">
        <f>Inputs!A44</f>
        <v>D-26-0043</v>
      </c>
      <c r="B44" t="str">
        <f>Inputs!B44</f>
        <v>Priya Raman</v>
      </c>
      <c r="C44" t="str">
        <f>Inputs!C44</f>
        <v>APAC</v>
      </c>
      <c r="D44" t="str">
        <f>Inputs!D44</f>
        <v>Analytics Add-on</v>
      </c>
      <c r="E44" s="3">
        <f>Inputs!G44</f>
        <v>46308</v>
      </c>
      <c r="F44" s="2">
        <f>N(Inputs!E44)</f>
        <v>644500</v>
      </c>
      <c r="G44">
        <f t="shared" si="8"/>
        <v>8</v>
      </c>
      <c r="H44" s="6">
        <f>VLOOKUP(F44,Rates!$A$2:$B$10,2,TRUE)</f>
        <v>8.5000000000000006E-2</v>
      </c>
      <c r="I44" s="6">
        <f>INDEX(Rates!$E$2:$E$10,G44)</f>
        <v>0.02</v>
      </c>
      <c r="J44" s="6">
        <f>IFERROR(VLOOKUP(D44,Rates!$G$2:$H$6,2,FALSE),0)</f>
        <v>0.01</v>
      </c>
      <c r="K44" s="6">
        <f t="shared" si="9"/>
        <v>0.115</v>
      </c>
      <c r="L44" s="9">
        <f>F44*K44*IFERROR(VLOOKUP(B44,Rates!$J$2:$K$13,2,FALSE),0)</f>
        <v>74117.5</v>
      </c>
      <c r="M44" s="10">
        <f>IF(Inputs!H44&gt;90,-0.02*L44,0)</f>
        <v>0</v>
      </c>
      <c r="N44" s="9">
        <f t="shared" si="10"/>
        <v>74117.5</v>
      </c>
      <c r="O44" s="9">
        <f t="shared" si="11"/>
        <v>0</v>
      </c>
      <c r="P44" s="9">
        <f t="shared" si="12"/>
        <v>0</v>
      </c>
      <c r="Q44" s="9">
        <f t="shared" si="13"/>
        <v>0</v>
      </c>
      <c r="R44" s="9">
        <f t="shared" si="14"/>
        <v>74117.5</v>
      </c>
      <c r="S44" s="9">
        <v>85235.125</v>
      </c>
    </row>
    <row r="45" spans="1:19" x14ac:dyDescent="0.2">
      <c r="A45" t="str">
        <f>Inputs!A45</f>
        <v>D-26-0044</v>
      </c>
      <c r="B45" t="str">
        <f>Inputs!B45</f>
        <v>Lukas Becker</v>
      </c>
      <c r="C45" t="str">
        <f>Inputs!C45</f>
        <v>EMEA</v>
      </c>
      <c r="D45" t="str">
        <f>Inputs!D45</f>
        <v>Data Connectors</v>
      </c>
      <c r="E45" s="3">
        <f>Inputs!G45</f>
        <v>46309</v>
      </c>
      <c r="F45" s="2">
        <f>N(Inputs!E45)</f>
        <v>61000</v>
      </c>
      <c r="G45">
        <f t="shared" si="8"/>
        <v>3</v>
      </c>
      <c r="H45" s="6">
        <f>VLOOKUP(F45,Rates!$A$2:$B$10,2,TRUE)</f>
        <v>0.04</v>
      </c>
      <c r="I45" s="6">
        <f>INDEX(Rates!$E$2:$E$10,G45)</f>
        <v>2.5000000000000001E-3</v>
      </c>
      <c r="J45" s="6">
        <f>IFERROR(VLOOKUP(D45,Rates!$G$2:$H$6,2,FALSE),0)</f>
        <v>0</v>
      </c>
      <c r="K45" s="6">
        <f t="shared" si="9"/>
        <v>4.2500000000000003E-2</v>
      </c>
      <c r="L45" s="9">
        <f>F45*K45*IFERROR(VLOOKUP(B45,Rates!$J$2:$K$13,2,FALSE),0)*1.07</f>
        <v>2773.9750000000004</v>
      </c>
      <c r="M45" s="10">
        <f>IF(Inputs!H45&gt;90,-0.02*L45,0)</f>
        <v>0</v>
      </c>
      <c r="N45" s="9">
        <f t="shared" si="10"/>
        <v>2773.9750000000004</v>
      </c>
      <c r="O45" s="9">
        <f t="shared" si="11"/>
        <v>0</v>
      </c>
      <c r="P45" s="9">
        <f t="shared" si="12"/>
        <v>0</v>
      </c>
      <c r="Q45" s="9">
        <f t="shared" si="13"/>
        <v>0</v>
      </c>
      <c r="R45" s="9">
        <f t="shared" si="14"/>
        <v>2773.9750000000004</v>
      </c>
      <c r="S45" s="9">
        <v>3190.07125</v>
      </c>
    </row>
    <row r="46" spans="1:19" x14ac:dyDescent="0.2">
      <c r="A46" t="str">
        <f>Inputs!A46</f>
        <v>D-26-0045</v>
      </c>
      <c r="B46" t="str">
        <f>Inputs!B46</f>
        <v>Daniel Kim</v>
      </c>
      <c r="C46" t="str">
        <f>Inputs!C46</f>
        <v>AMER</v>
      </c>
      <c r="D46" t="str">
        <f>Inputs!D46</f>
        <v>Analytics Add-on</v>
      </c>
      <c r="E46" s="3">
        <f>Inputs!G46</f>
        <v>46320</v>
      </c>
      <c r="F46" s="2">
        <f>N(Inputs!E46)</f>
        <v>143500</v>
      </c>
      <c r="G46">
        <f t="shared" si="8"/>
        <v>4</v>
      </c>
      <c r="H46" s="6">
        <f>VLOOKUP(F46,Rates!$A$2:$B$10,2,TRUE)</f>
        <v>0.05</v>
      </c>
      <c r="I46" s="6">
        <f>INDEX(Rates!$E$2:$E$10,G46)</f>
        <v>5.0000000000000001E-3</v>
      </c>
      <c r="J46" s="6">
        <f>IFERROR(VLOOKUP(D46,Rates!$G$2:$H$6,2,FALSE),0)</f>
        <v>0.01</v>
      </c>
      <c r="K46" s="6">
        <f t="shared" si="9"/>
        <v>6.5000000000000002E-2</v>
      </c>
      <c r="L46" s="9">
        <f>F46*K46*IFERROR(VLOOKUP(B46,Rates!$J$2:$K$13,2,FALSE),0)</f>
        <v>4663.75</v>
      </c>
      <c r="M46" s="10">
        <f>IF(Inputs!H46&gt;90,-0.02*L46,0)</f>
        <v>0</v>
      </c>
      <c r="N46" s="9">
        <f t="shared" si="10"/>
        <v>4663.75</v>
      </c>
      <c r="O46" s="9">
        <f t="shared" si="11"/>
        <v>0</v>
      </c>
      <c r="P46" s="9">
        <f t="shared" si="12"/>
        <v>0</v>
      </c>
      <c r="Q46" s="9">
        <f t="shared" si="13"/>
        <v>0</v>
      </c>
      <c r="R46" s="9">
        <f t="shared" si="14"/>
        <v>4663.75</v>
      </c>
      <c r="S46" s="9">
        <v>5363.3125</v>
      </c>
    </row>
    <row r="47" spans="1:19" x14ac:dyDescent="0.2">
      <c r="A47" t="str">
        <f>Inputs!A47</f>
        <v>D-26-0046</v>
      </c>
      <c r="B47" t="str">
        <f>Inputs!B47</f>
        <v>Lukas Becker</v>
      </c>
      <c r="C47" t="str">
        <f>Inputs!C47</f>
        <v>EMEA</v>
      </c>
      <c r="D47" t="str">
        <f>Inputs!D47</f>
        <v>Enterprise Suite</v>
      </c>
      <c r="E47" s="3">
        <f>Inputs!G47</f>
        <v>46334</v>
      </c>
      <c r="F47" s="2">
        <f>N(Inputs!E47)</f>
        <v>489000</v>
      </c>
      <c r="G47">
        <f t="shared" si="8"/>
        <v>7</v>
      </c>
      <c r="H47" s="6">
        <f>VLOOKUP(F47,Rates!$A$2:$B$10,2,TRUE)</f>
        <v>8.5000000000000006E-2</v>
      </c>
      <c r="I47" s="6">
        <f>INDEX(Rates!$E$2:$E$10,G47)</f>
        <v>1.4999999999999999E-2</v>
      </c>
      <c r="J47" s="6">
        <f>IFERROR(VLOOKUP(D47,Rates!$G$2:$H$6,2,FALSE),0)</f>
        <v>0.04</v>
      </c>
      <c r="K47" s="6">
        <f t="shared" si="9"/>
        <v>0.14000000000000001</v>
      </c>
      <c r="L47" s="9">
        <f>F47*K47*IFERROR(VLOOKUP(B47,Rates!$J$2:$K$13,2,FALSE),0)*1.07</f>
        <v>73252.2</v>
      </c>
      <c r="M47" s="10">
        <f>IF(Inputs!H47&gt;90,-0.02*L47,0)</f>
        <v>-1465.0439999999999</v>
      </c>
      <c r="N47" s="9">
        <f t="shared" si="10"/>
        <v>71787.156000000003</v>
      </c>
      <c r="O47" s="9">
        <f t="shared" si="11"/>
        <v>0</v>
      </c>
      <c r="P47" s="9">
        <f t="shared" si="12"/>
        <v>0</v>
      </c>
      <c r="Q47" s="9">
        <f t="shared" si="13"/>
        <v>0</v>
      </c>
      <c r="R47" s="9">
        <f t="shared" si="14"/>
        <v>71787.156000000003</v>
      </c>
      <c r="S47" s="9">
        <v>82555.229399999997</v>
      </c>
    </row>
    <row r="48" spans="1:19" x14ac:dyDescent="0.2">
      <c r="A48" t="str">
        <f>Inputs!A48</f>
        <v>D-26-0047</v>
      </c>
      <c r="B48" t="str">
        <f>Inputs!B48</f>
        <v>Sarah O'Connor</v>
      </c>
      <c r="C48" t="str">
        <f>Inputs!C48</f>
        <v>EMEA</v>
      </c>
      <c r="D48" t="str">
        <f>Inputs!D48</f>
        <v>Analytics Add-on</v>
      </c>
      <c r="E48" s="3">
        <f>Inputs!G48</f>
        <v>46340</v>
      </c>
      <c r="F48" s="2">
        <f>N(Inputs!E48)</f>
        <v>244500</v>
      </c>
      <c r="G48">
        <f t="shared" si="8"/>
        <v>5</v>
      </c>
      <c r="H48" s="6">
        <f>VLOOKUP(F48,Rates!$A$2:$B$10,2,TRUE)</f>
        <v>0.05</v>
      </c>
      <c r="I48" s="6">
        <f>INDEX(Rates!$E$2:$E$10,G48)</f>
        <v>7.4999999999999997E-3</v>
      </c>
      <c r="J48" s="6">
        <f>IFERROR(VLOOKUP(D48,Rates!$G$2:$H$6,2,FALSE),0)</f>
        <v>0.01</v>
      </c>
      <c r="K48" s="6">
        <f t="shared" si="9"/>
        <v>6.7500000000000004E-2</v>
      </c>
      <c r="L48" s="9">
        <f>F48*K48*IFERROR(VLOOKUP(B48,Rates!$J$2:$K$13,2,FALSE),0)*1.07</f>
        <v>17659.012500000001</v>
      </c>
      <c r="M48" s="10">
        <f>IF(Inputs!H48&gt;90,-0.02*L48,0)</f>
        <v>0</v>
      </c>
      <c r="N48" s="9">
        <f t="shared" si="10"/>
        <v>17659.012500000001</v>
      </c>
      <c r="O48" s="9">
        <f t="shared" si="11"/>
        <v>0</v>
      </c>
      <c r="P48" s="9">
        <f t="shared" si="12"/>
        <v>0</v>
      </c>
      <c r="Q48" s="9">
        <f t="shared" si="13"/>
        <v>0</v>
      </c>
      <c r="R48" s="9">
        <f t="shared" si="14"/>
        <v>17659.012500000001</v>
      </c>
      <c r="S48" s="9">
        <v>20307.864375000001</v>
      </c>
    </row>
    <row r="49" spans="1:19" x14ac:dyDescent="0.2">
      <c r="A49" t="str">
        <f>Inputs!A49</f>
        <v>D-26-0048</v>
      </c>
      <c r="B49" t="str">
        <f>Inputs!B49</f>
        <v>Sarah O'Connor</v>
      </c>
      <c r="C49" t="str">
        <f>Inputs!C49</f>
        <v>EMEA</v>
      </c>
      <c r="D49" t="str">
        <f>Inputs!D49</f>
        <v>Analytics Add-on</v>
      </c>
      <c r="E49" s="3">
        <f>Inputs!G49</f>
        <v>46340</v>
      </c>
      <c r="F49" s="2">
        <f>N(Inputs!E49)</f>
        <v>144500</v>
      </c>
      <c r="G49">
        <f t="shared" si="8"/>
        <v>4</v>
      </c>
      <c r="H49" s="6">
        <f>VLOOKUP(F49,Rates!$A$2:$B$10,2,TRUE)</f>
        <v>0.05</v>
      </c>
      <c r="I49" s="6">
        <f>INDEX(Rates!$E$2:$E$10,G49)</f>
        <v>5.0000000000000001E-3</v>
      </c>
      <c r="J49" s="6">
        <f>IFERROR(VLOOKUP(D49,Rates!$G$2:$H$6,2,FALSE),0)</f>
        <v>0.01</v>
      </c>
      <c r="K49" s="6">
        <f t="shared" si="9"/>
        <v>6.5000000000000002E-2</v>
      </c>
      <c r="L49" s="9">
        <f>F49*K49*IFERROR(VLOOKUP(B49,Rates!$J$2:$K$13,2,FALSE),0)*1.07</f>
        <v>10049.975</v>
      </c>
      <c r="M49" s="10">
        <f>IF(Inputs!H49&gt;90,-0.02*L49,0)</f>
        <v>0</v>
      </c>
      <c r="N49" s="9">
        <f t="shared" si="10"/>
        <v>10049.975</v>
      </c>
      <c r="O49" s="9">
        <f t="shared" si="11"/>
        <v>0</v>
      </c>
      <c r="P49" s="9">
        <f t="shared" si="12"/>
        <v>0</v>
      </c>
      <c r="Q49" s="9">
        <f t="shared" si="13"/>
        <v>0</v>
      </c>
      <c r="R49" s="9">
        <f t="shared" si="14"/>
        <v>10049.975</v>
      </c>
      <c r="S49" s="9">
        <v>11557.471249999999</v>
      </c>
    </row>
    <row r="50" spans="1:19" x14ac:dyDescent="0.2">
      <c r="A50" t="str">
        <f>Inputs!A50</f>
        <v>D-26-0049</v>
      </c>
      <c r="B50" t="str">
        <f>Inputs!B50</f>
        <v>Michael Brooks</v>
      </c>
      <c r="C50" t="str">
        <f>Inputs!C50</f>
        <v>AMER</v>
      </c>
      <c r="D50" t="str">
        <f>Inputs!D50</f>
        <v>Enterprise Suite</v>
      </c>
      <c r="E50" s="3">
        <f>Inputs!G50</f>
        <v>46341</v>
      </c>
      <c r="F50" s="2">
        <f>N(Inputs!E50)</f>
        <v>161500</v>
      </c>
      <c r="G50">
        <f t="shared" si="8"/>
        <v>5</v>
      </c>
      <c r="H50" s="6">
        <f>VLOOKUP(F50,Rates!$A$2:$B$10,2,TRUE)</f>
        <v>0.05</v>
      </c>
      <c r="I50" s="6">
        <f>INDEX(Rates!$E$2:$E$10,G50)</f>
        <v>7.4999999999999997E-3</v>
      </c>
      <c r="J50" s="6">
        <f>IFERROR(VLOOKUP(D50,Rates!$G$2:$H$6,2,FALSE),0)</f>
        <v>0.04</v>
      </c>
      <c r="K50" s="6">
        <f t="shared" si="9"/>
        <v>9.7500000000000003E-2</v>
      </c>
      <c r="L50" s="9">
        <f>F50*K50*IFERROR(VLOOKUP(B50,Rates!$J$2:$K$13,2,FALSE),0)</f>
        <v>15746.25</v>
      </c>
      <c r="M50" s="10">
        <f>IF(Inputs!H50&gt;90,-0.02*L50,0)</f>
        <v>0</v>
      </c>
      <c r="N50" s="9">
        <f t="shared" si="10"/>
        <v>15746.25</v>
      </c>
      <c r="O50" s="9">
        <f t="shared" si="11"/>
        <v>0</v>
      </c>
      <c r="P50" s="9">
        <f t="shared" si="12"/>
        <v>0</v>
      </c>
      <c r="Q50" s="9">
        <f t="shared" si="13"/>
        <v>0</v>
      </c>
      <c r="R50" s="9">
        <f t="shared" si="14"/>
        <v>15746.25</v>
      </c>
      <c r="S50" s="9">
        <v>18108.1875</v>
      </c>
    </row>
    <row r="51" spans="1:19" x14ac:dyDescent="0.2">
      <c r="A51" t="str">
        <f>Inputs!A51</f>
        <v>D-26-0050</v>
      </c>
      <c r="B51" t="str">
        <f>Inputs!B51</f>
        <v>Vikram Singh</v>
      </c>
      <c r="C51" t="str">
        <f>Inputs!C51</f>
        <v>India</v>
      </c>
      <c r="D51" t="str">
        <f>Inputs!D51</f>
        <v>Enterprise Suite</v>
      </c>
      <c r="E51" s="3">
        <f>Inputs!G51</f>
        <v>46344</v>
      </c>
      <c r="F51" s="2">
        <f>N(Inputs!E51)</f>
        <v>82000</v>
      </c>
      <c r="G51">
        <f t="shared" si="8"/>
        <v>3</v>
      </c>
      <c r="H51" s="6">
        <f>VLOOKUP(F51,Rates!$A$2:$B$10,2,TRUE)</f>
        <v>0.04</v>
      </c>
      <c r="I51" s="6">
        <f>INDEX(Rates!$E$2:$E$10,G51)</f>
        <v>2.5000000000000001E-3</v>
      </c>
      <c r="J51" s="6">
        <f>IFERROR(VLOOKUP(D51,Rates!$G$2:$H$6,2,FALSE),0)</f>
        <v>0.04</v>
      </c>
      <c r="K51" s="6">
        <f t="shared" si="9"/>
        <v>8.2500000000000004E-2</v>
      </c>
      <c r="L51" s="9">
        <f>F51*K51*IFERROR(VLOOKUP(B51,Rates!$J$2:$K$13,2,FALSE),0)</f>
        <v>6765</v>
      </c>
      <c r="M51" s="10">
        <f>IF(Inputs!H51&gt;90,-0.02*L51,0)</f>
        <v>0</v>
      </c>
      <c r="N51" s="9">
        <f t="shared" si="10"/>
        <v>6765</v>
      </c>
      <c r="O51" s="9">
        <f t="shared" si="11"/>
        <v>0</v>
      </c>
      <c r="P51" s="9">
        <f t="shared" si="12"/>
        <v>0</v>
      </c>
      <c r="Q51" s="9">
        <f t="shared" si="13"/>
        <v>0</v>
      </c>
      <c r="R51" s="9">
        <f t="shared" si="14"/>
        <v>6765</v>
      </c>
      <c r="S51" s="9">
        <v>7779.7499999999991</v>
      </c>
    </row>
    <row r="52" spans="1:19" x14ac:dyDescent="0.2">
      <c r="A52" t="str">
        <f>Inputs!A52</f>
        <v>D-26-0051</v>
      </c>
      <c r="B52" t="str">
        <f>Inputs!B52</f>
        <v>Amelie Laurent</v>
      </c>
      <c r="C52" t="str">
        <f>Inputs!C52</f>
        <v>EMEA</v>
      </c>
      <c r="D52" t="str">
        <f>Inputs!D52</f>
        <v>Core Platform</v>
      </c>
      <c r="E52" s="3">
        <f>Inputs!G52</f>
        <v>46350</v>
      </c>
      <c r="F52" s="2">
        <f>N(Inputs!E52)</f>
        <v>27500</v>
      </c>
      <c r="G52">
        <f t="shared" si="8"/>
        <v>2</v>
      </c>
      <c r="H52" s="6">
        <f>VLOOKUP(F52,Rates!$A$2:$B$10,2,TRUE)</f>
        <v>0.03</v>
      </c>
      <c r="I52" s="6">
        <f>INDEX(Rates!$E$2:$E$10,G52)</f>
        <v>0</v>
      </c>
      <c r="J52" s="6">
        <f>IFERROR(VLOOKUP(D52,Rates!$G$2:$H$6,2,FALSE),0)</f>
        <v>0</v>
      </c>
      <c r="K52" s="6">
        <f t="shared" si="9"/>
        <v>0.03</v>
      </c>
      <c r="L52" s="9">
        <f>F52*K52*IFERROR(VLOOKUP(B52,Rates!$J$2:$K$13,2,FALSE),0)*1.07</f>
        <v>662.0625</v>
      </c>
      <c r="M52" s="10">
        <f>IF(Inputs!H52&gt;90,-0.02*L52,0)</f>
        <v>0</v>
      </c>
      <c r="N52" s="9">
        <f t="shared" si="10"/>
        <v>662.0625</v>
      </c>
      <c r="O52" s="9">
        <f t="shared" si="11"/>
        <v>0</v>
      </c>
      <c r="P52" s="9">
        <f t="shared" si="12"/>
        <v>0</v>
      </c>
      <c r="Q52" s="9">
        <f t="shared" si="13"/>
        <v>0</v>
      </c>
      <c r="R52" s="9">
        <f t="shared" si="14"/>
        <v>662.0625</v>
      </c>
      <c r="S52" s="9">
        <v>761.37187499999993</v>
      </c>
    </row>
    <row r="53" spans="1:19" x14ac:dyDescent="0.2">
      <c r="A53" t="str">
        <f>Inputs!A53</f>
        <v>D-26-0052</v>
      </c>
      <c r="B53" t="str">
        <f>Inputs!B53</f>
        <v>Sarah O'Connor</v>
      </c>
      <c r="C53" t="str">
        <f>Inputs!C53</f>
        <v>EMEA</v>
      </c>
      <c r="D53" t="str">
        <f>Inputs!D53</f>
        <v>Core Platform</v>
      </c>
      <c r="E53" s="3">
        <f>Inputs!G53</f>
        <v>46360</v>
      </c>
      <c r="F53" s="2">
        <f>N(Inputs!E53)</f>
        <v>24500</v>
      </c>
      <c r="G53">
        <f t="shared" si="8"/>
        <v>1</v>
      </c>
      <c r="H53" s="6">
        <f>VLOOKUP(F53,Rates!$A$2:$B$10,2,TRUE)</f>
        <v>0.02</v>
      </c>
      <c r="I53" s="6">
        <f>INDEX(Rates!$E$2:$E$10,G53)</f>
        <v>0</v>
      </c>
      <c r="J53" s="6">
        <f>IFERROR(VLOOKUP(D53,Rates!$G$2:$H$6,2,FALSE),0)</f>
        <v>0</v>
      </c>
      <c r="K53" s="6">
        <f t="shared" si="9"/>
        <v>0.02</v>
      </c>
      <c r="L53" s="9">
        <f>F53*K53*IFERROR(VLOOKUP(B53,Rates!$J$2:$K$13,2,FALSE),0)*1.07</f>
        <v>524.30000000000007</v>
      </c>
      <c r="M53" s="10">
        <f>IF(Inputs!H53&gt;90,-0.02*L53,0)</f>
        <v>0</v>
      </c>
      <c r="N53" s="9">
        <f t="shared" si="10"/>
        <v>524.30000000000007</v>
      </c>
      <c r="O53" s="9">
        <f t="shared" si="11"/>
        <v>0</v>
      </c>
      <c r="P53" s="9">
        <f t="shared" si="12"/>
        <v>0</v>
      </c>
      <c r="Q53" s="9">
        <f t="shared" si="13"/>
        <v>0</v>
      </c>
      <c r="R53" s="9">
        <f t="shared" si="14"/>
        <v>524.30000000000007</v>
      </c>
      <c r="S53" s="9">
        <v>602.94500000000005</v>
      </c>
    </row>
    <row r="54" spans="1:19" x14ac:dyDescent="0.2">
      <c r="A54" t="str">
        <f>Inputs!A54</f>
        <v>D-26-0053</v>
      </c>
      <c r="B54" t="str">
        <f>Inputs!B54</f>
        <v>Hiroshi Tanaka</v>
      </c>
      <c r="C54" t="str">
        <f>Inputs!C54</f>
        <v>APAC</v>
      </c>
      <c r="D54" t="str">
        <f>Inputs!D54</f>
        <v>Data Connectors</v>
      </c>
      <c r="E54" s="3">
        <f>Inputs!G54</f>
        <v>46361</v>
      </c>
      <c r="F54" s="2">
        <f>N(Inputs!E54)</f>
        <v>216500</v>
      </c>
      <c r="G54">
        <f t="shared" si="8"/>
        <v>5</v>
      </c>
      <c r="H54" s="6">
        <f>VLOOKUP(F54,Rates!$A$2:$B$10,2,TRUE)</f>
        <v>0.05</v>
      </c>
      <c r="I54" s="6">
        <f>INDEX(Rates!$E$2:$E$10,G54)</f>
        <v>7.4999999999999997E-3</v>
      </c>
      <c r="J54" s="6">
        <f>IFERROR(VLOOKUP(D54,Rates!$G$2:$H$6,2,FALSE),0)</f>
        <v>0</v>
      </c>
      <c r="K54" s="6">
        <f t="shared" si="9"/>
        <v>5.7500000000000002E-2</v>
      </c>
      <c r="L54" s="9">
        <f>F54*K54*IFERROR(VLOOKUP(B54,Rates!$J$2:$K$13,2,FALSE),0)</f>
        <v>12448.75</v>
      </c>
      <c r="M54" s="10">
        <f>IF(Inputs!H54&gt;90,-0.02*L54,0)</f>
        <v>0</v>
      </c>
      <c r="N54" s="9">
        <f t="shared" si="10"/>
        <v>12448.75</v>
      </c>
      <c r="O54" s="9">
        <f t="shared" si="11"/>
        <v>0</v>
      </c>
      <c r="P54" s="9">
        <f t="shared" si="12"/>
        <v>0</v>
      </c>
      <c r="Q54" s="9">
        <f t="shared" si="13"/>
        <v>0</v>
      </c>
      <c r="R54" s="9">
        <f t="shared" si="14"/>
        <v>12448.75</v>
      </c>
      <c r="S54" s="9">
        <v>14316.062499999998</v>
      </c>
    </row>
    <row r="55" spans="1:19" x14ac:dyDescent="0.2">
      <c r="A55" t="str">
        <f>Inputs!A55</f>
        <v>D-26-0054</v>
      </c>
      <c r="B55" t="str">
        <f>Inputs!B55</f>
        <v xml:space="preserve">Rohan Mehta </v>
      </c>
      <c r="C55" t="str">
        <f>Inputs!C55</f>
        <v>India</v>
      </c>
      <c r="D55" t="str">
        <f>Inputs!D55</f>
        <v>Core Platform</v>
      </c>
      <c r="E55" s="3">
        <f>Inputs!G55</f>
        <v>46362</v>
      </c>
      <c r="F55" s="2">
        <f>N(Inputs!E55)</f>
        <v>56500</v>
      </c>
      <c r="G55">
        <f t="shared" si="8"/>
        <v>3</v>
      </c>
      <c r="H55" s="6">
        <f>VLOOKUP(F55,Rates!$A$2:$B$10,2,TRUE)</f>
        <v>0.04</v>
      </c>
      <c r="I55" s="6">
        <f>INDEX(Rates!$E$2:$E$10,G55)</f>
        <v>2.5000000000000001E-3</v>
      </c>
      <c r="J55" s="6">
        <f>IFERROR(VLOOKUP(D55,Rates!$G$2:$H$6,2,FALSE),0)</f>
        <v>0</v>
      </c>
      <c r="K55" s="6">
        <f t="shared" si="9"/>
        <v>4.2500000000000003E-2</v>
      </c>
      <c r="L55" s="9">
        <f>F55*K55*IFERROR(VLOOKUP(B55,Rates!$J$2:$K$13,2,FALSE),0)</f>
        <v>0</v>
      </c>
      <c r="M55" s="10">
        <f>IF(Inputs!H55&gt;90,-0.02*L55,0)</f>
        <v>0</v>
      </c>
      <c r="N55" s="9">
        <f t="shared" si="10"/>
        <v>0</v>
      </c>
      <c r="O55" s="9">
        <f t="shared" si="11"/>
        <v>0</v>
      </c>
      <c r="P55" s="9">
        <f t="shared" si="12"/>
        <v>0</v>
      </c>
      <c r="Q55" s="9">
        <f t="shared" si="13"/>
        <v>0</v>
      </c>
      <c r="R55" s="9">
        <f t="shared" si="14"/>
        <v>0</v>
      </c>
      <c r="S55" s="9">
        <v>0</v>
      </c>
    </row>
    <row r="56" spans="1:19" x14ac:dyDescent="0.2">
      <c r="A56" t="str">
        <f>Inputs!A56</f>
        <v>D-26-0055</v>
      </c>
      <c r="B56" t="str">
        <f>Inputs!B56</f>
        <v>Wei Zhang</v>
      </c>
      <c r="C56" t="str">
        <f>Inputs!C56</f>
        <v>APAC</v>
      </c>
      <c r="D56" t="str">
        <f>Inputs!D56</f>
        <v>Core Platform</v>
      </c>
      <c r="E56" s="3">
        <f>Inputs!G56</f>
        <v>46372</v>
      </c>
      <c r="F56" s="2">
        <f>N(Inputs!E56)</f>
        <v>152000</v>
      </c>
      <c r="G56">
        <f t="shared" si="8"/>
        <v>5</v>
      </c>
      <c r="H56" s="6">
        <f>VLOOKUP(F56,Rates!$A$2:$B$10,2,TRUE)</f>
        <v>0.05</v>
      </c>
      <c r="I56" s="6">
        <f>INDEX(Rates!$E$2:$E$10,G56)</f>
        <v>7.4999999999999997E-3</v>
      </c>
      <c r="J56" s="6">
        <f>IFERROR(VLOOKUP(D56,Rates!$G$2:$H$6,2,FALSE),0)</f>
        <v>0</v>
      </c>
      <c r="K56" s="6">
        <f t="shared" si="9"/>
        <v>5.7500000000000002E-2</v>
      </c>
      <c r="L56" s="9">
        <f>F56*K56*IFERROR(VLOOKUP(B56,Rates!$J$2:$K$13,2,FALSE),0)</f>
        <v>8740</v>
      </c>
      <c r="M56" s="10">
        <f>IF(Inputs!H56&gt;90,-0.02*L56,0)</f>
        <v>0</v>
      </c>
      <c r="N56" s="9">
        <f t="shared" si="10"/>
        <v>8740</v>
      </c>
      <c r="O56" s="9">
        <f t="shared" si="11"/>
        <v>0</v>
      </c>
      <c r="P56" s="9">
        <f t="shared" si="12"/>
        <v>0</v>
      </c>
      <c r="Q56" s="9">
        <f t="shared" si="13"/>
        <v>0</v>
      </c>
      <c r="R56" s="9">
        <f t="shared" si="14"/>
        <v>8740</v>
      </c>
      <c r="S56" s="9">
        <v>10051</v>
      </c>
    </row>
    <row r="57" spans="1:19" x14ac:dyDescent="0.2">
      <c r="A57" t="str">
        <f>Inputs!A57</f>
        <v>D-26-0056</v>
      </c>
      <c r="B57" t="str">
        <f>Inputs!B57</f>
        <v>Priya Raman</v>
      </c>
      <c r="C57" t="str">
        <f>Inputs!C57</f>
        <v>APAC</v>
      </c>
      <c r="D57" t="str">
        <f>Inputs!D57</f>
        <v>Enterprise Suite</v>
      </c>
      <c r="E57" s="3">
        <f>Inputs!G57</f>
        <v>46375</v>
      </c>
      <c r="F57" s="2">
        <f>N(Inputs!E57)</f>
        <v>1082500</v>
      </c>
      <c r="G57">
        <f t="shared" si="8"/>
        <v>9</v>
      </c>
      <c r="H57" s="6">
        <f>VLOOKUP(F57,Rates!$A$2:$B$10,2,TRUE)</f>
        <v>0.1</v>
      </c>
      <c r="I57" s="6">
        <f>INDEX(Rates!$E$2:$E$10,G57)</f>
        <v>2.5000000000000001E-2</v>
      </c>
      <c r="J57" s="6">
        <f>IFERROR(VLOOKUP(D57,Rates!$G$2:$H$6,2,FALSE),0)</f>
        <v>0.04</v>
      </c>
      <c r="K57" s="6">
        <f t="shared" si="9"/>
        <v>0.16500000000000001</v>
      </c>
      <c r="L57" s="9">
        <f>F57*K57*IFERROR(VLOOKUP(B57,Rates!$J$2:$K$13,2,FALSE),0)</f>
        <v>178612.5</v>
      </c>
      <c r="M57" s="10">
        <f>IF(Inputs!H57&gt;90,-0.02*L57,0)</f>
        <v>0</v>
      </c>
      <c r="N57" s="9">
        <f t="shared" si="10"/>
        <v>178612.5</v>
      </c>
      <c r="O57" s="9">
        <f t="shared" si="11"/>
        <v>0</v>
      </c>
      <c r="P57" s="9">
        <f t="shared" si="12"/>
        <v>0</v>
      </c>
      <c r="Q57" s="9">
        <f t="shared" si="13"/>
        <v>0</v>
      </c>
      <c r="R57" s="9">
        <f t="shared" si="14"/>
        <v>178612.5</v>
      </c>
      <c r="S57" s="9">
        <v>205404.37499999997</v>
      </c>
    </row>
    <row r="58" spans="1:19" x14ac:dyDescent="0.2">
      <c r="A58" t="str">
        <f>Inputs!A58</f>
        <v>D-26-0057</v>
      </c>
      <c r="B58" t="str">
        <f>Inputs!B58</f>
        <v>Ananya Iyer</v>
      </c>
      <c r="C58" t="str">
        <f>Inputs!C58</f>
        <v>India</v>
      </c>
      <c r="D58" t="str">
        <f>Inputs!D58</f>
        <v>Support Plus</v>
      </c>
      <c r="E58" s="3">
        <f>Inputs!G58</f>
        <v>46376</v>
      </c>
      <c r="F58" s="2">
        <f>N(Inputs!E58)</f>
        <v>823000</v>
      </c>
      <c r="G58">
        <f t="shared" si="8"/>
        <v>8</v>
      </c>
      <c r="H58" s="6">
        <f>VLOOKUP(F58,Rates!$A$2:$B$10,2,TRUE)</f>
        <v>8.5000000000000006E-2</v>
      </c>
      <c r="I58" s="6">
        <f>INDEX(Rates!$E$2:$E$10,G58)</f>
        <v>0.02</v>
      </c>
      <c r="J58" s="6">
        <f>IFERROR(VLOOKUP(D58,Rates!$G$2:$H$6,2,FALSE),0)</f>
        <v>0</v>
      </c>
      <c r="K58" s="6">
        <f t="shared" si="9"/>
        <v>0.10500000000000001</v>
      </c>
      <c r="L58" s="9">
        <f>F58*K58*IFERROR(VLOOKUP(B58,Rates!$J$2:$K$13,2,FALSE),0)</f>
        <v>86415.000000000015</v>
      </c>
      <c r="M58" s="10">
        <f>IF(Inputs!H58&gt;90,-0.02*L58,0)</f>
        <v>0</v>
      </c>
      <c r="N58" s="9">
        <f t="shared" si="10"/>
        <v>86415.000000000015</v>
      </c>
      <c r="O58" s="9">
        <f t="shared" si="11"/>
        <v>0</v>
      </c>
      <c r="P58" s="9">
        <f t="shared" si="12"/>
        <v>0</v>
      </c>
      <c r="Q58" s="9">
        <f t="shared" si="13"/>
        <v>0</v>
      </c>
      <c r="R58" s="9">
        <f t="shared" si="14"/>
        <v>86415.000000000015</v>
      </c>
      <c r="S58" s="9">
        <v>99377.250000000015</v>
      </c>
    </row>
    <row r="59" spans="1:19" x14ac:dyDescent="0.2">
      <c r="A59" t="str">
        <f>Inputs!A59</f>
        <v>D-26-0058</v>
      </c>
      <c r="B59" t="str">
        <f>Inputs!B59</f>
        <v>Hiroshi Tanaka</v>
      </c>
      <c r="C59" t="str">
        <f>Inputs!C59</f>
        <v>APAC</v>
      </c>
      <c r="D59" t="str">
        <f>Inputs!D59</f>
        <v>Support Plus</v>
      </c>
      <c r="E59" s="3">
        <f>Inputs!G59</f>
        <v>46377</v>
      </c>
      <c r="F59" s="2">
        <f>N(Inputs!E59)</f>
        <v>0</v>
      </c>
      <c r="G59">
        <f t="shared" si="8"/>
        <v>1</v>
      </c>
      <c r="H59" s="6">
        <f>VLOOKUP(F59,Rates!$A$2:$B$10,2,TRUE)</f>
        <v>0.02</v>
      </c>
      <c r="I59" s="6">
        <f>INDEX(Rates!$E$2:$E$10,G59)</f>
        <v>0</v>
      </c>
      <c r="J59" s="6">
        <f>IFERROR(VLOOKUP(D59,Rates!$G$2:$H$6,2,FALSE),0)</f>
        <v>0</v>
      </c>
      <c r="K59" s="6">
        <f t="shared" si="9"/>
        <v>0.02</v>
      </c>
      <c r="L59" s="9">
        <f>F59*K59*IFERROR(VLOOKUP(B59,Rates!$J$2:$K$13,2,FALSE),0)</f>
        <v>0</v>
      </c>
      <c r="M59" s="10">
        <f>IF(Inputs!H59&gt;90,-0.02*L59,0)</f>
        <v>0</v>
      </c>
      <c r="N59" s="9">
        <f t="shared" si="10"/>
        <v>0</v>
      </c>
      <c r="O59" s="9">
        <f t="shared" si="11"/>
        <v>0</v>
      </c>
      <c r="P59" s="9">
        <f t="shared" si="12"/>
        <v>0</v>
      </c>
      <c r="Q59" s="9">
        <f t="shared" si="13"/>
        <v>0</v>
      </c>
      <c r="R59" s="9">
        <f t="shared" si="14"/>
        <v>0</v>
      </c>
      <c r="S59" s="9">
        <v>0</v>
      </c>
    </row>
    <row r="60" spans="1:19" x14ac:dyDescent="0.2">
      <c r="A60" t="str">
        <f>Inputs!A60</f>
        <v>D-26-0059</v>
      </c>
      <c r="B60" t="str">
        <f>Inputs!B60</f>
        <v>Ananya Iyer</v>
      </c>
      <c r="C60" t="str">
        <f>Inputs!C60</f>
        <v>India</v>
      </c>
      <c r="D60" t="str">
        <f>Inputs!D60</f>
        <v>Data Connectors</v>
      </c>
      <c r="E60" s="3">
        <f>Inputs!G60</f>
        <v>46382</v>
      </c>
      <c r="F60" s="2">
        <f>N(Inputs!E60)</f>
        <v>0</v>
      </c>
      <c r="G60">
        <f t="shared" si="8"/>
        <v>1</v>
      </c>
      <c r="H60" s="6">
        <f>VLOOKUP(F60,Rates!$A$2:$B$10,2,TRUE)</f>
        <v>0.02</v>
      </c>
      <c r="I60" s="6">
        <f>INDEX(Rates!$E$2:$E$10,G60)</f>
        <v>0</v>
      </c>
      <c r="J60" s="6">
        <f>IFERROR(VLOOKUP(D60,Rates!$G$2:$H$6,2,FALSE),0)</f>
        <v>0</v>
      </c>
      <c r="K60" s="6">
        <f t="shared" si="9"/>
        <v>0.02</v>
      </c>
      <c r="L60" s="9">
        <f>F60*K60*IFERROR(VLOOKUP(B60,Rates!$J$2:$K$13,2,FALSE),0)</f>
        <v>0</v>
      </c>
      <c r="M60" s="10">
        <f>IF(Inputs!H60&gt;90,-0.02*L60,0)</f>
        <v>0</v>
      </c>
      <c r="N60" s="9">
        <f t="shared" si="10"/>
        <v>0</v>
      </c>
      <c r="O60" s="9">
        <f t="shared" si="11"/>
        <v>0</v>
      </c>
      <c r="P60" s="9">
        <f t="shared" si="12"/>
        <v>0</v>
      </c>
      <c r="Q60" s="9">
        <f t="shared" si="13"/>
        <v>0</v>
      </c>
      <c r="R60" s="9">
        <f t="shared" si="14"/>
        <v>0</v>
      </c>
      <c r="S60" s="9">
        <v>0</v>
      </c>
    </row>
    <row r="61" spans="1:19" x14ac:dyDescent="0.2">
      <c r="A61" t="str">
        <f>Inputs!A61</f>
        <v>D-26-0060</v>
      </c>
      <c r="B61" t="str">
        <f>Inputs!B61</f>
        <v>Michael Brooks</v>
      </c>
      <c r="C61" t="str">
        <f>Inputs!C61</f>
        <v>AMER</v>
      </c>
      <c r="D61" t="str">
        <f>Inputs!D61</f>
        <v>Support Plus</v>
      </c>
      <c r="E61" s="3">
        <f>Inputs!G61</f>
        <v>46384</v>
      </c>
      <c r="F61" s="2">
        <f>N(Inputs!E61)</f>
        <v>165000</v>
      </c>
      <c r="G61">
        <f t="shared" si="8"/>
        <v>5</v>
      </c>
      <c r="H61" s="6">
        <f>VLOOKUP(F61,Rates!$A$2:$B$10,2,TRUE)</f>
        <v>0.05</v>
      </c>
      <c r="I61" s="6">
        <f>INDEX(Rates!$E$2:$E$10,G61)</f>
        <v>7.4999999999999997E-3</v>
      </c>
      <c r="J61" s="6">
        <f>IFERROR(VLOOKUP(D61,Rates!$G$2:$H$6,2,FALSE),0)</f>
        <v>0</v>
      </c>
      <c r="K61" s="6">
        <f t="shared" si="9"/>
        <v>5.7500000000000002E-2</v>
      </c>
      <c r="L61" s="9">
        <f>F61*K61*IFERROR(VLOOKUP(B61,Rates!$J$2:$K$13,2,FALSE),0)</f>
        <v>9487.5</v>
      </c>
      <c r="M61" s="10">
        <f>IF(Inputs!H61&gt;90,-0.02*L61,0)</f>
        <v>0</v>
      </c>
      <c r="N61" s="9">
        <f t="shared" si="10"/>
        <v>9487.5</v>
      </c>
      <c r="O61" s="9">
        <f t="shared" si="11"/>
        <v>0</v>
      </c>
      <c r="P61" s="9">
        <f t="shared" si="12"/>
        <v>0</v>
      </c>
      <c r="Q61" s="9">
        <f t="shared" si="13"/>
        <v>0</v>
      </c>
      <c r="R61" s="9">
        <f t="shared" si="14"/>
        <v>9487.5</v>
      </c>
      <c r="S61" s="9">
        <v>10910.625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E26"/>
  <sheetViews>
    <sheetView tabSelected="1" workbookViewId="0"/>
  </sheetViews>
  <sheetFormatPr baseColWidth="10" defaultColWidth="8.83203125" defaultRowHeight="15" x14ac:dyDescent="0.2"/>
  <cols>
    <col min="1" max="1" width="28" customWidth="1"/>
    <col min="2" max="2" width="10" customWidth="1"/>
    <col min="3" max="3" width="20" customWidth="1"/>
    <col min="4" max="4" width="19" customWidth="1"/>
    <col min="5" max="5" width="8" customWidth="1"/>
  </cols>
  <sheetData>
    <row r="1" spans="1:5" ht="19" x14ac:dyDescent="0.25">
      <c r="A1" s="11" t="s">
        <v>0</v>
      </c>
    </row>
    <row r="2" spans="1:5" x14ac:dyDescent="0.2">
      <c r="A2" t="s">
        <v>1</v>
      </c>
      <c r="B2" s="21" t="s">
        <v>2</v>
      </c>
      <c r="C2" s="22"/>
    </row>
    <row r="3" spans="1:5" x14ac:dyDescent="0.2">
      <c r="A3" s="12" t="s">
        <v>3</v>
      </c>
    </row>
    <row r="4" spans="1:5" ht="16" x14ac:dyDescent="0.2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</row>
    <row r="5" spans="1:5" x14ac:dyDescent="0.2">
      <c r="A5" t="s">
        <v>9</v>
      </c>
      <c r="B5" t="s">
        <v>10</v>
      </c>
      <c r="C5" s="2">
        <f>SUMIF(Calc!$B$2:$B$61,$A5,Calc!$S$2:$S$61)+SUMIF(adj!$A$2:$A$20,$A5,adj!$B$2:$B$20)</f>
        <v>307615</v>
      </c>
      <c r="D5" s="2">
        <f ca="1">SUMIF(Calc!$B$2:$B$61,$A5,OFFSET(Calc!$O$2:$O$61,0,MATCH($B$2,Calc!$O$1:$R$1,0)-1))</f>
        <v>306910</v>
      </c>
      <c r="E5">
        <f>COUNTIF(Calc!$B$2:$B$61,$A5)</f>
        <v>5</v>
      </c>
    </row>
    <row r="6" spans="1:5" x14ac:dyDescent="0.2">
      <c r="A6" t="s">
        <v>11</v>
      </c>
      <c r="B6" t="s">
        <v>10</v>
      </c>
      <c r="C6" s="2">
        <f>SUMIF(Calc!$B$2:$B$61,$A6,Calc!$S$2:$S$61)+SUMIF(adj!$A$2:$A$20,$A6,adj!$B$2:$B$20)</f>
        <v>131796.36249999999</v>
      </c>
      <c r="D6" s="2">
        <f ca="1">SUMIF(Calc!$B$2:$B$61,$A6,OFFSET(Calc!$O$2:$O$61,0,MATCH($B$2,Calc!$O$1:$R$1,0)-1))</f>
        <v>0</v>
      </c>
      <c r="E6">
        <f>COUNTIF(Calc!$B$2:$B$61,$A6)</f>
        <v>5</v>
      </c>
    </row>
    <row r="7" spans="1:5" x14ac:dyDescent="0.2">
      <c r="A7" t="s">
        <v>12</v>
      </c>
      <c r="B7" t="s">
        <v>10</v>
      </c>
      <c r="C7" s="2">
        <f>SUMIF(Calc!$B$2:$B$61,$A7,Calc!$S$2:$S$61)+SUMIF(adj!$A$2:$A$20,$A7,adj!$B$2:$B$20)</f>
        <v>7638.3125</v>
      </c>
      <c r="D7" s="2">
        <f ca="1">SUMIF(Calc!$B$2:$B$61,$A7,OFFSET(Calc!$O$2:$O$61,0,MATCH($B$2,Calc!$O$1:$R$1,0)-1))</f>
        <v>1667.5</v>
      </c>
      <c r="E7">
        <f>COUNTIF(Calc!$B$2:$B$61,$A7)</f>
        <v>5</v>
      </c>
    </row>
    <row r="8" spans="1:5" x14ac:dyDescent="0.2">
      <c r="A8" t="s">
        <v>13</v>
      </c>
      <c r="B8" t="s">
        <v>14</v>
      </c>
      <c r="C8" s="2">
        <f>SUMIF(Calc!$B$2:$B$61,$A8,Calc!$S$2:$S$61)+SUMIF(adj!$A$2:$A$20,$A8,adj!$B$2:$B$20)</f>
        <v>98156.230625000011</v>
      </c>
      <c r="D8" s="2">
        <f ca="1">SUMIF(Calc!$B$2:$B$61,$A8,OFFSET(Calc!$O$2:$O$61,0,MATCH($B$2,Calc!$O$1:$R$1,0)-1))</f>
        <v>49498.200000000004</v>
      </c>
      <c r="E8">
        <f>COUNTIF(Calc!$B$2:$B$61,$A8)</f>
        <v>5</v>
      </c>
    </row>
    <row r="9" spans="1:5" x14ac:dyDescent="0.2">
      <c r="A9" t="s">
        <v>15</v>
      </c>
      <c r="B9" t="s">
        <v>14</v>
      </c>
      <c r="C9" s="2">
        <f>SUMIF(Calc!$B$2:$B$61,$A9,Calc!$S$2:$S$61)+SUMIF(adj!$A$2:$A$20,$A9,adj!$B$2:$B$20)</f>
        <v>130210.75565000001</v>
      </c>
      <c r="D9" s="2">
        <f ca="1">SUMIF(Calc!$B$2:$B$61,$A9,OFFSET(Calc!$O$2:$O$61,0,MATCH($B$2,Calc!$O$1:$R$1,0)-1))</f>
        <v>43099.600000000006</v>
      </c>
      <c r="E9">
        <f>COUNTIF(Calc!$B$2:$B$61,$A9)</f>
        <v>5</v>
      </c>
    </row>
    <row r="10" spans="1:5" x14ac:dyDescent="0.2">
      <c r="A10" t="s">
        <v>16</v>
      </c>
      <c r="B10" t="s">
        <v>14</v>
      </c>
      <c r="C10" s="2">
        <f>SUMIF(Calc!$B$2:$B$61,$A10,Calc!$S$2:$S$61)+SUMIF(adj!$A$2:$A$20,$A10,adj!$B$2:$B$20)</f>
        <v>67577.60212499999</v>
      </c>
      <c r="D10" s="2">
        <f ca="1">SUMIF(Calc!$B$2:$B$61,$A10,OFFSET(Calc!$O$2:$O$61,0,MATCH($B$2,Calc!$O$1:$R$1,0)-1))</f>
        <v>24941.700000000004</v>
      </c>
      <c r="E10">
        <f>COUNTIF(Calc!$B$2:$B$61,$A10)</f>
        <v>5</v>
      </c>
    </row>
    <row r="11" spans="1:5" x14ac:dyDescent="0.2">
      <c r="A11" t="s">
        <v>17</v>
      </c>
      <c r="B11" t="s">
        <v>18</v>
      </c>
      <c r="C11" s="2">
        <f>SUMIF(Calc!$B$2:$B$61,$A11,Calc!$S$2:$S$61)+SUMIF(adj!$A$2:$A$20,$A11,adj!$B$2:$B$20)</f>
        <v>157688.5</v>
      </c>
      <c r="D11" s="2">
        <f ca="1">SUMIF(Calc!$B$2:$B$61,$A11,OFFSET(Calc!$O$2:$O$61,0,MATCH($B$2,Calc!$O$1:$R$1,0)-1))</f>
        <v>105450.00000000001</v>
      </c>
      <c r="E11">
        <f>COUNTIF(Calc!$B$2:$B$61,$A11)</f>
        <v>5</v>
      </c>
    </row>
    <row r="12" spans="1:5" x14ac:dyDescent="0.2">
      <c r="A12" t="s">
        <v>19</v>
      </c>
      <c r="B12" t="s">
        <v>18</v>
      </c>
      <c r="C12" s="2">
        <f>SUMIF(Calc!$B$2:$B$61,$A12,Calc!$S$2:$S$61)+SUMIF(adj!$A$2:$A$20,$A12,adj!$B$2:$B$20)</f>
        <v>98333.562500000015</v>
      </c>
      <c r="D12" s="2">
        <f ca="1">SUMIF(Calc!$B$2:$B$61,$A12,OFFSET(Calc!$O$2:$O$61,0,MATCH($B$2,Calc!$O$1:$R$1,0)-1))</f>
        <v>4207.5</v>
      </c>
      <c r="E12">
        <f>COUNTIF(Calc!$B$2:$B$61,$A12)</f>
        <v>5</v>
      </c>
    </row>
    <row r="13" spans="1:5" x14ac:dyDescent="0.2">
      <c r="A13" t="s">
        <v>20</v>
      </c>
      <c r="B13" t="s">
        <v>18</v>
      </c>
      <c r="C13" s="2">
        <f>SUMIF(Calc!$B$2:$B$61,$A13,Calc!$S$2:$S$61)+SUMIF(adj!$A$2:$A$20,$A13,adj!$B$2:$B$20)</f>
        <v>387152.1</v>
      </c>
      <c r="D13" s="2">
        <f ca="1">SUMIF(Calc!$B$2:$B$61,$A13,OFFSET(Calc!$O$2:$O$61,0,MATCH($B$2,Calc!$O$1:$R$1,0)-1))</f>
        <v>13340</v>
      </c>
      <c r="E13">
        <f>COUNTIF(Calc!$B$2:$B$61,$A13)</f>
        <v>5</v>
      </c>
    </row>
    <row r="14" spans="1:5" x14ac:dyDescent="0.2">
      <c r="A14" t="s">
        <v>21</v>
      </c>
      <c r="B14" t="s">
        <v>22</v>
      </c>
      <c r="C14" s="2">
        <f>SUMIF(Calc!$B$2:$B$61,$A14,Calc!$S$2:$S$61)+SUMIF(adj!$A$2:$A$20,$A14,adj!$B$2:$B$20)</f>
        <v>0</v>
      </c>
      <c r="D14" s="2">
        <f ca="1">SUMIF(Calc!$B$2:$B$61,$A14,OFFSET(Calc!$O$2:$O$61,0,MATCH($B$2,Calc!$O$1:$R$1,0)-1))</f>
        <v>0</v>
      </c>
      <c r="E14">
        <f>COUNTIF(Calc!$B$2:$B$61,$A14)</f>
        <v>0</v>
      </c>
    </row>
    <row r="15" spans="1:5" x14ac:dyDescent="0.2">
      <c r="A15" t="s">
        <v>23</v>
      </c>
      <c r="B15" t="s">
        <v>22</v>
      </c>
      <c r="C15" s="2">
        <f>SUMIF(Calc!$B$2:$B$61,$A15,Calc!$S$2:$S$61)+SUMIF(adj!$A$2:$A$20,$A15,adj!$B$2:$B$20)</f>
        <v>118924.75000000001</v>
      </c>
      <c r="D15" s="2">
        <f ca="1">SUMIF(Calc!$B$2:$B$61,$A15,OFFSET(Calc!$O$2:$O$61,0,MATCH($B$2,Calc!$O$1:$R$1,0)-1))</f>
        <v>0</v>
      </c>
      <c r="E15">
        <f>COUNTIF(Calc!$B$2:$B$61,$A15)</f>
        <v>5</v>
      </c>
    </row>
    <row r="16" spans="1:5" x14ac:dyDescent="0.2">
      <c r="A16" t="s">
        <v>24</v>
      </c>
      <c r="B16" t="s">
        <v>22</v>
      </c>
      <c r="C16" s="2">
        <f>SUMIF(Calc!$B$2:$B$61,$A16,Calc!$S$2:$S$61)+SUMIF(adj!$A$2:$A$20,$A16,adj!$B$2:$B$20)</f>
        <v>36562.25</v>
      </c>
      <c r="D16" s="2">
        <f ca="1">SUMIF(Calc!$B$2:$B$61,$A16,OFFSET(Calc!$O$2:$O$61,0,MATCH($B$2,Calc!$O$1:$R$1,0)-1))</f>
        <v>6765</v>
      </c>
      <c r="E16">
        <f>COUNTIF(Calc!$B$2:$B$61,$A16)</f>
        <v>5</v>
      </c>
    </row>
    <row r="18" spans="1:3" ht="16" x14ac:dyDescent="0.2">
      <c r="A18" s="1" t="s">
        <v>5</v>
      </c>
      <c r="B18" s="1"/>
      <c r="C18" s="1" t="s">
        <v>6</v>
      </c>
    </row>
    <row r="19" spans="1:3" x14ac:dyDescent="0.2">
      <c r="A19" t="s">
        <v>10</v>
      </c>
      <c r="C19" s="2">
        <f>SUMIF(Calc!$C$2:$C$61,$A19,Calc!$S$2:$S$61)</f>
        <v>447049.67499999999</v>
      </c>
    </row>
    <row r="20" spans="1:3" x14ac:dyDescent="0.2">
      <c r="A20" t="s">
        <v>14</v>
      </c>
      <c r="C20" s="2">
        <f>SUMIF(Calc!$C$2:$C$61,$A20,Calc!$S$2:$S$61)</f>
        <v>291444.58840000001</v>
      </c>
    </row>
    <row r="21" spans="1:3" x14ac:dyDescent="0.2">
      <c r="A21" t="s">
        <v>18</v>
      </c>
      <c r="C21" s="2">
        <f>SUMIF(Calc!$C$2:$C$61,$A21,Calc!$S$2:$S$61)</f>
        <v>644374.16249999998</v>
      </c>
    </row>
    <row r="22" spans="1:3" x14ac:dyDescent="0.2">
      <c r="A22" t="s">
        <v>22</v>
      </c>
      <c r="C22" s="2">
        <f>SUMIF(Calc!$C$2:$C$61,$A22,Calc!$S$2:$S$61)</f>
        <v>155487</v>
      </c>
    </row>
    <row r="24" spans="1:3" x14ac:dyDescent="0.2">
      <c r="A24" s="13" t="s">
        <v>25</v>
      </c>
      <c r="B24" s="14"/>
      <c r="C24" s="15">
        <f>SUM(C5:C16)</f>
        <v>1541655.4259000001</v>
      </c>
    </row>
    <row r="25" spans="1:3" x14ac:dyDescent="0.2">
      <c r="A25" s="16" t="s">
        <v>26</v>
      </c>
      <c r="B25" s="17"/>
      <c r="C25" s="18">
        <f>SUM(Inputs!E2:E61)</f>
        <v>15304000</v>
      </c>
    </row>
    <row r="26" spans="1:3" x14ac:dyDescent="0.2">
      <c r="A26" s="16" t="s">
        <v>27</v>
      </c>
      <c r="B26" s="17"/>
      <c r="C26" s="19">
        <f>C24/C25</f>
        <v>0.10073545647543126</v>
      </c>
    </row>
  </sheetData>
  <mergeCells count="1">
    <mergeCell ref="B2:C2"/>
  </mergeCells>
  <dataValidations count="1">
    <dataValidation type="list" sqref="B2" xr:uid="{00000000-0002-0000-0300-000000000000}">
      <formula1>"Q1,Q2,Q3,Q4"</formula1>
    </dataValidation>
  </dataValidations>
  <pageMargins left="0.75" right="0.75" top="1" bottom="1" header="0.5" footer="0.5"/>
  <pageSetup fitToHeight="0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11"/>
  <sheetViews>
    <sheetView workbookViewId="0"/>
  </sheetViews>
  <sheetFormatPr baseColWidth="10" defaultColWidth="8.83203125" defaultRowHeight="15" x14ac:dyDescent="0.2"/>
  <sheetData>
    <row r="1" spans="1:2" x14ac:dyDescent="0.2">
      <c r="A1" s="20" t="s">
        <v>120</v>
      </c>
    </row>
    <row r="2" spans="1:2" ht="16" x14ac:dyDescent="0.2">
      <c r="A2" s="1" t="s">
        <v>121</v>
      </c>
      <c r="B2" s="1" t="s">
        <v>122</v>
      </c>
    </row>
    <row r="3" spans="1:2" x14ac:dyDescent="0.2">
      <c r="A3" s="2">
        <v>0</v>
      </c>
      <c r="B3" s="5">
        <v>1.4999999999999999E-2</v>
      </c>
    </row>
    <row r="4" spans="1:2" x14ac:dyDescent="0.2">
      <c r="A4" s="2">
        <v>25000</v>
      </c>
      <c r="B4" s="5">
        <v>2.5000000000000001E-2</v>
      </c>
    </row>
    <row r="5" spans="1:2" x14ac:dyDescent="0.2">
      <c r="A5" s="2">
        <v>50000</v>
      </c>
      <c r="B5" s="5">
        <v>3.5000000000000003E-2</v>
      </c>
    </row>
    <row r="6" spans="1:2" x14ac:dyDescent="0.2">
      <c r="A6" s="2">
        <v>100000</v>
      </c>
      <c r="B6" s="5">
        <v>4.5000000000000012E-2</v>
      </c>
    </row>
    <row r="7" spans="1:2" x14ac:dyDescent="0.2">
      <c r="A7" s="2">
        <v>150000</v>
      </c>
      <c r="B7" s="5">
        <v>5.5E-2</v>
      </c>
    </row>
    <row r="8" spans="1:2" x14ac:dyDescent="0.2">
      <c r="A8" s="2">
        <v>250000</v>
      </c>
      <c r="B8" s="5">
        <v>6.5000000000000002E-2</v>
      </c>
    </row>
    <row r="9" spans="1:2" x14ac:dyDescent="0.2">
      <c r="A9" s="2">
        <v>400000</v>
      </c>
      <c r="B9" s="5">
        <v>0.08</v>
      </c>
    </row>
    <row r="10" spans="1:2" x14ac:dyDescent="0.2">
      <c r="A10" s="2">
        <v>600000</v>
      </c>
      <c r="B10" s="5">
        <v>9.5000000000000001E-2</v>
      </c>
    </row>
    <row r="11" spans="1:2" x14ac:dyDescent="0.2">
      <c r="A11" s="2">
        <v>1000000</v>
      </c>
      <c r="B11" s="5">
        <v>0.105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3"/>
  <sheetViews>
    <sheetView workbookViewId="0"/>
  </sheetViews>
  <sheetFormatPr baseColWidth="10" defaultColWidth="8.83203125" defaultRowHeight="15" x14ac:dyDescent="0.2"/>
  <sheetData>
    <row r="1" spans="1:2" x14ac:dyDescent="0.2">
      <c r="A1" t="s">
        <v>123</v>
      </c>
      <c r="B1" t="s">
        <v>124</v>
      </c>
    </row>
    <row r="2" spans="1:2" x14ac:dyDescent="0.2">
      <c r="A2" t="s">
        <v>13</v>
      </c>
      <c r="B2">
        <v>4500</v>
      </c>
    </row>
    <row r="3" spans="1:2" x14ac:dyDescent="0.2">
      <c r="A3" t="s">
        <v>17</v>
      </c>
      <c r="B3">
        <v>-1200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Rates</vt:lpstr>
      <vt:lpstr>Calc</vt:lpstr>
      <vt:lpstr>Summary</vt:lpstr>
      <vt:lpstr>old_rates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FY26 Sales Commission</dc:title>
  <dc:creator>Rahul Kapoor</dc:creator>
  <cp:lastModifiedBy>Akshat Kharbanda</cp:lastModifiedBy>
  <dcterms:created xsi:type="dcterms:W3CDTF">2026-09-14T09:30:00Z</dcterms:created>
  <dcterms:modified xsi:type="dcterms:W3CDTF">2026-10-27T16:21:50Z</dcterms:modified>
</cp:coreProperties>
</file>